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maina\Downloads\"/>
    </mc:Choice>
  </mc:AlternateContent>
  <xr:revisionPtr revIDLastSave="0" documentId="13_ncr:1_{1836A6D6-3A69-425D-AECE-2CEB06F5FA28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Dashboard" sheetId="1" r:id="rId1"/>
    <sheet name="Cleaned Data" sheetId="2" r:id="rId2"/>
    <sheet name="Analysis" sheetId="3" r:id="rId3"/>
    <sheet name="Chart 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3" l="1"/>
  <c r="G5" i="3"/>
  <c r="F5" i="3"/>
  <c r="E5" i="3"/>
  <c r="D5" i="3"/>
  <c r="C5" i="3"/>
  <c r="B5" i="3"/>
  <c r="Q6" i="1" l="1"/>
  <c r="N6" i="1"/>
  <c r="K6" i="1"/>
  <c r="B6" i="1"/>
  <c r="H6" i="1"/>
  <c r="E6" i="1"/>
</calcChain>
</file>

<file path=xl/sharedStrings.xml><?xml version="1.0" encoding="utf-8"?>
<sst xmlns="http://schemas.openxmlformats.org/spreadsheetml/2006/main" count="427" uniqueCount="109">
  <si>
    <t>Pricing | Discounts | Customer Reviews | Ratings</t>
  </si>
  <si>
    <t>Total Products</t>
  </si>
  <si>
    <t>Avg Rating</t>
  </si>
  <si>
    <t>Avg Discount</t>
  </si>
  <si>
    <t>Total Reviews</t>
  </si>
  <si>
    <t>Avg Price (KSh)</t>
  </si>
  <si>
    <t>Max Price (KSh)</t>
  </si>
  <si>
    <t>#</t>
  </si>
  <si>
    <t>Product</t>
  </si>
  <si>
    <t>Current Price (KSh)</t>
  </si>
  <si>
    <t>Old Price (KSh)</t>
  </si>
  <si>
    <t>Discount (%)</t>
  </si>
  <si>
    <t>Reviews</t>
  </si>
  <si>
    <t>Rating</t>
  </si>
  <si>
    <t>Discount Category</t>
  </si>
  <si>
    <t>Rating Category</t>
  </si>
  <si>
    <t>LASA FOLDING TABLE SERVING STAND</t>
  </si>
  <si>
    <t>High Discount</t>
  </si>
  <si>
    <t>Excellent</t>
  </si>
  <si>
    <t>5-PCS Stainless Steel Cooking Pot Set With Steamed Slices</t>
  </si>
  <si>
    <t>Poor</t>
  </si>
  <si>
    <t>LASA 3 Tier Bamboo Shoe Bench Storage Shelf</t>
  </si>
  <si>
    <t>Average</t>
  </si>
  <si>
    <t>Mythco 120COB Solar Wall Ligt With Motion Sensor And Remote Control 3 Modes</t>
  </si>
  <si>
    <t>3PCS Single Head Knitting Crochet Sweater Needle Set</t>
  </si>
  <si>
    <t>Classic Black Cat Cotton Hemp Pillow Case For Home Car</t>
  </si>
  <si>
    <t>Exfoliate And Exfoliate Face Towel - Black</t>
  </si>
  <si>
    <t>Intelligent  LED Body Sensor Wireless Lighting Night Light USB</t>
  </si>
  <si>
    <t>Anti-Skid Absorbent Insulation Coaster  For Home Office</t>
  </si>
  <si>
    <t>380ML USB Rechargeable Portable Small Blenders And Juicers</t>
  </si>
  <si>
    <t>Current Price</t>
  </si>
  <si>
    <t>Old Price</t>
  </si>
  <si>
    <t>Absolute Discount (KSh)</t>
  </si>
  <si>
    <t>115  Piece Set Of Multifunctional Precision Screwdrivers</t>
  </si>
  <si>
    <t>Medium Discount</t>
  </si>
  <si>
    <t>Metal Decorative Hooks Key Hangers Entryway Wall Hooks Towel Hooks - Home</t>
  </si>
  <si>
    <t>Portable Mini Cordless Car Vacuum Cleaner - Blue</t>
  </si>
  <si>
    <t>Weighing Scale Digital Bathroom Body Fat Scale USB-Black</t>
  </si>
  <si>
    <t>Portable Home Small Air Humidifier 3-Speed Fan - Green</t>
  </si>
  <si>
    <t>220V 60W Electric Soldering Iron Kits With Tools, Tips, And Multimeter</t>
  </si>
  <si>
    <t>Low Discount</t>
  </si>
  <si>
    <t>137 Pieces Cake Decorating Tool Set Baking Supplies</t>
  </si>
  <si>
    <t>Desk Foldable Fan Adjustable Fan Strong Wind 3 Gear Usb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</si>
  <si>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</si>
  <si>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</si>
  <si>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</si>
  <si>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</si>
  <si>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</si>
  <si>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</si>
  <si>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</si>
  <si>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</si>
  <si>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</si>
  <si>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</si>
  <si>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LED Romantic Spaceship Starry Sky Projector,Children's Bedroom Night Light-Blue</t>
  </si>
  <si>
    <t>Foldable Overbed Table/Desk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</si>
  <si>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</si>
  <si>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</si>
  <si>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</si>
  <si>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</si>
  <si>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12 Litre Insulated Lunch Box Grey</t>
  </si>
  <si>
    <t>LED Eye Protection 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</si>
  <si>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</si>
  <si>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</si>
  <si>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</si>
  <si>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Punch-free Great Load Bearing Bathroom Storage Rack Wall Shelf-White</t>
  </si>
  <si>
    <t>1/2/3 Seater Elastic Sofa Cover,Living Room/Home Decor Chair Cover-Grey</t>
  </si>
  <si>
    <t>5 Pieces/set Of Stainless Steel Induction Cooker Pots</t>
  </si>
  <si>
    <t>120W Cordless Vacuum Cleaners Handheld Electric Vacuum Cleaner</t>
  </si>
  <si>
    <t>VIC Wireless Vacuum Cleaner Dual Use For Home And Car 120W High Power Powerful</t>
  </si>
  <si>
    <t>Artificial Potted Flowers Room Decorative Flowers (2 Pieces)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</si>
  <si>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</si>
  <si>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</si>
  <si>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</si>
  <si>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</si>
  <si>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</si>
  <si>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</si>
  <si>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</si>
  <si>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Memory Foam Neck Pillow Cover, With Pillow Core - 50*30cm</t>
  </si>
  <si>
    <t>Bedroom Simple Floor Hanging Clothes Rack Single Pole Hat Rack - White</t>
  </si>
  <si>
    <t>Household Pineapple Peeler Peeler</t>
  </si>
  <si>
    <t>Konka Healty Electric Kettle, 24-hour Heat Preservation,1.5L,800W, White</t>
  </si>
  <si>
    <t>Wall-mounted Sticker Punch-free Plug Fixer</t>
  </si>
  <si>
    <t>A.  OVERALL DESCRIPTIVE STATISTICS</t>
  </si>
  <si>
    <t>Metric</t>
  </si>
  <si>
    <t>Avg Current Price (KSh)</t>
  </si>
  <si>
    <t>Avg Old Price (KSh)</t>
  </si>
  <si>
    <t>Avg Discount (%)</t>
  </si>
  <si>
    <t>Most Expensive (KSh)</t>
  </si>
  <si>
    <t>All Products</t>
  </si>
  <si>
    <t>B.  BY RATING CATEGORY</t>
  </si>
  <si>
    <t># Products</t>
  </si>
  <si>
    <t>C.  BY DISCOUNT CATEGORY</t>
  </si>
  <si>
    <t>D.  TOP 5 HIGHEST RATED PRODUCTS</t>
  </si>
  <si>
    <t>E.  BOTTOM 5 LOWEST RATED PRODUCTS</t>
  </si>
  <si>
    <t>F.  TOP 10 PRODUCTS — HIGHEST DISCOUNTS</t>
  </si>
  <si>
    <t>G.  TOP 10 PRODUCTS — MOST REVIEWED</t>
  </si>
  <si>
    <t>Rating Category Breakdown</t>
  </si>
  <si>
    <t>Top 10 Products by Discount</t>
  </si>
  <si>
    <t>Category</t>
  </si>
  <si>
    <t>Count</t>
  </si>
  <si>
    <t>Discount Category Performance</t>
  </si>
  <si>
    <t>Avg Reviews</t>
  </si>
  <si>
    <t>Top 10 Products by Reviews</t>
  </si>
  <si>
    <t>Discount (%) vs Reviews</t>
  </si>
  <si>
    <t>PRODUCT PERFORMANCE SUMMARY — TOP 10 BY DISCOUNT</t>
  </si>
  <si>
    <t>JUMIA PRODUCT PERFORMANCE DASHBOARD</t>
  </si>
  <si>
    <t>JUMIA PRODUCT DATASET — CLEANED &amp; ENRICHED</t>
  </si>
  <si>
    <t>DESCRIPTIVE STATISTICS &amp; ANALYSIS</t>
  </si>
  <si>
    <t>CHART DATA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</si>
</sst>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D2D2D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D2D2D"/>
      <name val="Arial"/>
      <charset val="1"/>
    </font>
    <font>
      <sz val="11"/>
      <color rgb="FF9C0006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9"/>
      <color theme="0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0E6"/>
        <bgColor rgb="FFF5F5F5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C0504D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002060"/>
        <bgColor rgb="FFC15A00"/>
      </patternFill>
    </fill>
    <fill>
      <patternFill patternType="solid">
        <fgColor rgb="FF002060"/>
        <bgColor rgb="FF008080"/>
      </patternFill>
    </fill>
    <fill>
      <patternFill patternType="solid">
        <fgColor rgb="FF002060"/>
        <bgColor rgb="FF4F81BD"/>
      </patternFill>
    </fill>
    <fill>
      <patternFill patternType="solid">
        <fgColor rgb="FF002060"/>
        <bgColor rgb="FFC0504D"/>
      </patternFill>
    </fill>
    <fill>
      <patternFill patternType="solid">
        <fgColor rgb="FF002060"/>
        <bgColor rgb="FFBB4646"/>
      </patternFill>
    </fill>
    <fill>
      <patternFill patternType="solid">
        <fgColor rgb="FF00B0F0"/>
        <bgColor rgb="FFC0504D"/>
      </patternFill>
    </fill>
    <fill>
      <patternFill patternType="solid">
        <fgColor rgb="FF00B0F0"/>
        <bgColor rgb="FFF9F9F9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9F9F9"/>
      </patternFill>
    </fill>
    <fill>
      <patternFill patternType="solid">
        <fgColor rgb="FF0070C0"/>
        <bgColor rgb="FFC15A00"/>
      </patternFill>
    </fill>
    <fill>
      <patternFill patternType="solid">
        <fgColor rgb="FF0070C0"/>
        <bgColor rgb="FFC0504D"/>
      </patternFill>
    </fill>
  </fills>
  <borders count="3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65" fontId="3" fillId="4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0" fontId="7" fillId="6" borderId="0" xfId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0" fillId="15" borderId="0" xfId="0" applyFill="1"/>
    <xf numFmtId="0" fontId="3" fillId="16" borderId="2" xfId="0" applyFont="1" applyFill="1" applyBorder="1" applyAlignment="1">
      <alignment horizontal="left" vertical="center" wrapText="1"/>
    </xf>
    <xf numFmtId="0" fontId="0" fillId="17" borderId="0" xfId="0" applyFill="1"/>
    <xf numFmtId="3" fontId="3" fillId="16" borderId="2" xfId="0" applyNumberFormat="1" applyFont="1" applyFill="1" applyBorder="1" applyAlignment="1">
      <alignment horizontal="center" vertical="center" wrapText="1"/>
    </xf>
    <xf numFmtId="165" fontId="3" fillId="16" borderId="2" xfId="0" applyNumberFormat="1" applyFont="1" applyFill="1" applyBorder="1" applyAlignment="1">
      <alignment horizontal="center" vertical="center" wrapText="1"/>
    </xf>
    <xf numFmtId="1" fontId="3" fillId="16" borderId="2" xfId="0" applyNumberFormat="1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/>
    </xf>
    <xf numFmtId="3" fontId="3" fillId="17" borderId="2" xfId="0" applyNumberFormat="1" applyFont="1" applyFill="1" applyBorder="1" applyAlignment="1">
      <alignment horizontal="center" vertical="center" wrapText="1"/>
    </xf>
    <xf numFmtId="165" fontId="3" fillId="17" borderId="2" xfId="0" applyNumberFormat="1" applyFont="1" applyFill="1" applyBorder="1" applyAlignment="1">
      <alignment horizontal="center" vertical="center" wrapText="1"/>
    </xf>
    <xf numFmtId="1" fontId="3" fillId="17" borderId="2" xfId="0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2" fontId="3" fillId="16" borderId="2" xfId="0" applyNumberFormat="1" applyFont="1" applyFill="1" applyBorder="1" applyAlignment="1">
      <alignment horizontal="center" vertical="center" wrapText="1"/>
    </xf>
    <xf numFmtId="2" fontId="3" fillId="17" borderId="2" xfId="0" applyNumberFormat="1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504D"/>
      <rgbColor rgb="FF800080"/>
      <rgbColor rgb="FF2980B9"/>
      <rgbColor rgb="FFD9D9D9"/>
      <rgbColor rgb="FF878787"/>
      <rgbColor rgb="FF9999FF"/>
      <rgbColor rgb="FFBB4646"/>
      <rgbColor rgb="FFFFF0E6"/>
      <rgbColor rgb="FFF5F5F5"/>
      <rgbColor rgb="FF660066"/>
      <rgbColor rgb="FFE74C3C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E07826"/>
      <rgbColor rgb="FF4F81BD"/>
      <rgbColor rgb="FF969696"/>
      <rgbColor rgb="FF003366"/>
      <rgbColor rgb="FF27AE60"/>
      <rgbColor rgb="FF003300"/>
      <rgbColor rgb="FF333300"/>
      <rgbColor rgb="FFC15A00"/>
      <rgbColor rgb="FF8E44AD"/>
      <rgbColor rgb="FF555555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Products by Rating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E9B-4593-A588-18D2881A9CC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E9B-4593-A588-18D2881A9CC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E9B-4593-A588-18D2881A9CC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E9B-4593-A588-18D2881A9CC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E9B-4593-A588-18D2881A9CC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E9B-4593-A588-18D2881A9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Data'!$A$5:$A$7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Poor</c:v>
                </c:pt>
              </c:strCache>
            </c:strRef>
          </c:cat>
          <c:val>
            <c:numRef>
              <c:f>'Chart Data'!$B$5:$B$7</c:f>
              <c:numCache>
                <c:formatCode>General</c:formatCode>
                <c:ptCount val="3"/>
                <c:pt idx="0">
                  <c:v>22</c:v>
                </c:pt>
                <c:pt idx="1">
                  <c:v>23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9B-4593-A588-18D2881A9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Rating by Discount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Data'!$C$11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Data'!$A$12:$A$14</c:f>
              <c:strCache>
                <c:ptCount val="3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</c:strCache>
            </c:strRef>
          </c:cat>
          <c:val>
            <c:numRef>
              <c:f>'Chart Data'!$C$12:$C$14</c:f>
              <c:numCache>
                <c:formatCode>General</c:formatCode>
                <c:ptCount val="3"/>
                <c:pt idx="0">
                  <c:v>3.61</c:v>
                </c:pt>
                <c:pt idx="1">
                  <c:v>3.72</c:v>
                </c:pt>
                <c:pt idx="2">
                  <c:v>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5-4556-9D62-9ADB2CF8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32483"/>
        <c:axId val="10863972"/>
      </c:barChart>
      <c:catAx>
        <c:axId val="39932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Discount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63972"/>
        <c:crosses val="autoZero"/>
        <c:auto val="1"/>
        <c:lblAlgn val="ctr"/>
        <c:lblOffset val="100"/>
        <c:noMultiLvlLbl val="0"/>
      </c:catAx>
      <c:valAx>
        <c:axId val="10863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32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— Highest Discounts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Data'!$G$4</c:f>
              <c:strCache>
                <c:ptCount val="1"/>
                <c:pt idx="0">
                  <c:v>Discount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Data'!$F$5:$F$14</c:f>
              <c:strCache>
                <c:ptCount val="10"/>
                <c:pt idx="0">
                  <c:v>LASA FOLDING TABLE SERVING STAND</c:v>
                </c:pt>
                <c:pt idx="1">
                  <c:v>5-PCS Stainless Steel Cooking Pot Set With Steamed Slices</c:v>
                </c:pt>
                <c:pt idx="2">
                  <c:v>LASA 3 Tier Bamboo Shoe Bench Storage Shelf</c:v>
                </c:pt>
                <c:pt idx="3">
                  <c:v>Mythco 120COB Solar Wall Ligt With Motion Sensor And Remote Control 3 Modes</c:v>
                </c:pt>
                <c:pt idx="4">
                  <c:v>3PCS Single Head Knitting Crochet Sweater Needle Set</c:v>
                </c:pt>
                <c:pt idx="5">
                  <c:v>Classic Black Cat Cotton Hemp Pillow Case For Home Car</c:v>
                </c:pt>
                <c:pt idx="6">
                  <c:v>Exfoliate And Exfoliate Face Towel - Black</c:v>
                </c:pt>
                <c:pt idx="7">
                  <c:v>Intelligent  LED Body Sensor Wireless Lighting Night Light USB</c:v>
                </c:pt>
                <c:pt idx="8">
                  <c:v>Anti-Skid Absorbent Insulation Coaster  For Home Office</c:v>
                </c:pt>
                <c:pt idx="9">
                  <c:v>380ML USB Rechargeable Portable Small Blenders And Juicers</c:v>
                </c:pt>
              </c:strCache>
            </c:strRef>
          </c:cat>
          <c:val>
            <c:numRef>
              <c:f>'Chart Data'!$G$5:$G$14</c:f>
              <c:numCache>
                <c:formatCode>General</c:formatCode>
                <c:ptCount val="10"/>
                <c:pt idx="0">
                  <c:v>55</c:v>
                </c:pt>
                <c:pt idx="1">
                  <c:v>55</c:v>
                </c:pt>
                <c:pt idx="2">
                  <c:v>54</c:v>
                </c:pt>
                <c:pt idx="3">
                  <c:v>54</c:v>
                </c:pt>
                <c:pt idx="4">
                  <c:v>53</c:v>
                </c:pt>
                <c:pt idx="5">
                  <c:v>53</c:v>
                </c:pt>
                <c:pt idx="6">
                  <c:v>52</c:v>
                </c:pt>
                <c:pt idx="7">
                  <c:v>52</c:v>
                </c:pt>
                <c:pt idx="8">
                  <c:v>51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D-4180-A0A7-16C4CDAAE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62224"/>
        <c:axId val="83752427"/>
      </c:barChart>
      <c:catAx>
        <c:axId val="326622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Discount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752427"/>
        <c:crosses val="autoZero"/>
        <c:auto val="1"/>
        <c:lblAlgn val="ctr"/>
        <c:lblOffset val="100"/>
        <c:noMultiLvlLbl val="0"/>
      </c:catAx>
      <c:valAx>
        <c:axId val="837524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62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— Most Reviewed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Data'!$G$17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Data'!$F$18:$F$27</c:f>
              <c:strCache>
                <c:ptCount val="10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52 Pieces Cake Decorating Tool Set Gift Kit Baking Supplies</c:v>
                </c:pt>
                <c:pt idx="9">
                  <c:v>53Pcs/Set Yarn Knitting Crochet Hooks With Bag - Fortune Cat</c:v>
                </c:pt>
              </c:strCache>
            </c:strRef>
          </c:cat>
          <c:val>
            <c:numRef>
              <c:f>'Chart Data'!$G$18:$G$27</c:f>
              <c:numCache>
                <c:formatCode>General</c:formatCode>
                <c:ptCount val="10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9-4484-9C47-0B0FA540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89807"/>
        <c:axId val="57034980"/>
      </c:barChart>
      <c:catAx>
        <c:axId val="686898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034980"/>
        <c:crosses val="autoZero"/>
        <c:auto val="1"/>
        <c:lblAlgn val="ctr"/>
        <c:lblOffset val="100"/>
        <c:noMultiLvlLbl val="0"/>
      </c:catAx>
      <c:valAx>
        <c:axId val="570349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89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Reviews per Discount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Data'!$D$11</c:f>
              <c:strCache>
                <c:ptCount val="1"/>
                <c:pt idx="0">
                  <c:v>Avg Reviews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Data'!$A$12:$A$14</c:f>
              <c:strCache>
                <c:ptCount val="3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</c:strCache>
            </c:strRef>
          </c:cat>
          <c:val>
            <c:numRef>
              <c:f>'Chart Data'!$D$12:$D$14</c:f>
              <c:numCache>
                <c:formatCode>General</c:formatCode>
                <c:ptCount val="3"/>
                <c:pt idx="0">
                  <c:v>11.13</c:v>
                </c:pt>
                <c:pt idx="1">
                  <c:v>9.5</c:v>
                </c:pt>
                <c:pt idx="2">
                  <c:v>15.26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B-4061-AA9F-C6FCD32C0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3892"/>
        <c:axId val="14201602"/>
      </c:barChart>
      <c:catAx>
        <c:axId val="212738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Discount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01602"/>
        <c:crosses val="autoZero"/>
        <c:auto val="1"/>
        <c:lblAlgn val="ctr"/>
        <c:lblOffset val="100"/>
        <c:noMultiLvlLbl val="0"/>
      </c:catAx>
      <c:valAx>
        <c:axId val="14201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73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8</xdr:row>
      <xdr:rowOff>28575</xdr:rowOff>
    </xdr:from>
    <xdr:to>
      <xdr:col>7</xdr:col>
      <xdr:colOff>128805</xdr:colOff>
      <xdr:row>27</xdr:row>
      <xdr:rowOff>8715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171450</xdr:colOff>
      <xdr:row>8</xdr:row>
      <xdr:rowOff>38100</xdr:rowOff>
    </xdr:from>
    <xdr:to>
      <xdr:col>16</xdr:col>
      <xdr:colOff>810690</xdr:colOff>
      <xdr:row>27</xdr:row>
      <xdr:rowOff>18240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28575</xdr:colOff>
      <xdr:row>27</xdr:row>
      <xdr:rowOff>95250</xdr:rowOff>
    </xdr:from>
    <xdr:to>
      <xdr:col>16</xdr:col>
      <xdr:colOff>800100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1000125</xdr:colOff>
      <xdr:row>27</xdr:row>
      <xdr:rowOff>142875</xdr:rowOff>
    </xdr:from>
    <xdr:to>
      <xdr:col>35</xdr:col>
      <xdr:colOff>367965</xdr:colOff>
      <xdr:row>50</xdr:row>
      <xdr:rowOff>81045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1000125</xdr:colOff>
      <xdr:row>8</xdr:row>
      <xdr:rowOff>47625</xdr:rowOff>
    </xdr:from>
    <xdr:to>
      <xdr:col>27</xdr:col>
      <xdr:colOff>239190</xdr:colOff>
      <xdr:row>27</xdr:row>
      <xdr:rowOff>27765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"/>
  <sheetViews>
    <sheetView showGridLines="0" zoomScaleNormal="100" workbookViewId="0">
      <selection activeCell="X5" sqref="X5"/>
    </sheetView>
  </sheetViews>
  <sheetFormatPr defaultColWidth="8.7109375" defaultRowHeight="15" x14ac:dyDescent="0.25"/>
  <cols>
    <col min="1" max="1" width="2" customWidth="1"/>
    <col min="2" max="2" width="4" customWidth="1"/>
    <col min="3" max="3" width="35" customWidth="1"/>
    <col min="4" max="4" width="2" customWidth="1"/>
    <col min="5" max="5" width="16" customWidth="1"/>
    <col min="6" max="6" width="2" customWidth="1"/>
    <col min="7" max="7" width="16" customWidth="1"/>
    <col min="8" max="8" width="2" customWidth="1"/>
    <col min="9" max="9" width="14" customWidth="1"/>
    <col min="10" max="10" width="2" customWidth="1"/>
    <col min="11" max="11" width="12" customWidth="1"/>
    <col min="12" max="12" width="2" customWidth="1"/>
    <col min="13" max="13" width="10" customWidth="1"/>
    <col min="14" max="14" width="2" customWidth="1"/>
    <col min="15" max="15" width="18" customWidth="1"/>
    <col min="16" max="16" width="2" customWidth="1"/>
    <col min="17" max="17" width="16" customWidth="1"/>
    <col min="18" max="20" width="2" customWidth="1"/>
  </cols>
  <sheetData>
    <row r="1" spans="1:30" ht="21.75" customHeight="1" x14ac:dyDescent="0.25">
      <c r="A1" s="9" t="s">
        <v>105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2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customHeight="1" x14ac:dyDescent="0.25">
      <c r="A5" s="1"/>
      <c r="B5" s="16" t="s">
        <v>1</v>
      </c>
      <c r="C5" s="16"/>
      <c r="D5" s="16"/>
      <c r="E5" s="17" t="s">
        <v>2</v>
      </c>
      <c r="F5" s="17"/>
      <c r="G5" s="17"/>
      <c r="H5" s="18" t="s">
        <v>3</v>
      </c>
      <c r="I5" s="18"/>
      <c r="J5" s="18"/>
      <c r="K5" s="19" t="s">
        <v>4</v>
      </c>
      <c r="L5" s="19"/>
      <c r="M5" s="19"/>
      <c r="N5" s="20" t="s">
        <v>5</v>
      </c>
      <c r="O5" s="20"/>
      <c r="P5" s="20"/>
      <c r="Q5" s="19" t="s">
        <v>6</v>
      </c>
      <c r="R5" s="19"/>
      <c r="S5" s="19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0" customHeight="1" x14ac:dyDescent="0.25">
      <c r="A6" s="1"/>
      <c r="B6" s="11">
        <f>Analysis!B5</f>
        <v>1303.3508771929824</v>
      </c>
      <c r="C6" s="11"/>
      <c r="D6" s="11"/>
      <c r="E6" s="12">
        <f>Analysis!E5</f>
        <v>3.8894736842105258</v>
      </c>
      <c r="F6" s="12"/>
      <c r="G6" s="12"/>
      <c r="H6" s="13">
        <f>Analysis!D5</f>
        <v>38.964912280701753</v>
      </c>
      <c r="I6" s="13"/>
      <c r="J6" s="13"/>
      <c r="K6" s="14">
        <f>Analysis!G5</f>
        <v>723</v>
      </c>
      <c r="L6" s="14"/>
      <c r="M6" s="14"/>
      <c r="N6" s="11">
        <f>Analysis!C5</f>
        <v>2054.5087719298244</v>
      </c>
      <c r="O6" s="11"/>
      <c r="P6" s="11"/>
      <c r="Q6" s="11">
        <f>Analysis!H5</f>
        <v>3750</v>
      </c>
      <c r="R6" s="11"/>
      <c r="S6" s="1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1.75" customHeight="1" x14ac:dyDescent="0.25">
      <c r="A7" s="1"/>
      <c r="B7" s="15" t="s">
        <v>1</v>
      </c>
      <c r="C7" s="15"/>
      <c r="D7" s="15"/>
      <c r="E7" s="15" t="s">
        <v>2</v>
      </c>
      <c r="F7" s="15"/>
      <c r="G7" s="15"/>
      <c r="H7" s="15" t="s">
        <v>3</v>
      </c>
      <c r="I7" s="15"/>
      <c r="J7" s="15"/>
      <c r="K7" s="15" t="s">
        <v>4</v>
      </c>
      <c r="L7" s="15"/>
      <c r="M7" s="15"/>
      <c r="N7" s="15" t="s">
        <v>5</v>
      </c>
      <c r="O7" s="15"/>
      <c r="P7" s="15"/>
      <c r="Q7" s="15" t="s">
        <v>6</v>
      </c>
      <c r="R7" s="15"/>
      <c r="S7" s="15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4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1.75" customHeight="1" x14ac:dyDescent="0.25">
      <c r="A58" s="1"/>
      <c r="B58" s="21" t="s">
        <v>104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21.75" customHeight="1" x14ac:dyDescent="0.25">
      <c r="A59" s="1"/>
      <c r="B59" s="23" t="s">
        <v>7</v>
      </c>
      <c r="C59" s="23" t="s">
        <v>8</v>
      </c>
      <c r="D59" s="24"/>
      <c r="E59" s="23" t="s">
        <v>9</v>
      </c>
      <c r="F59" s="24"/>
      <c r="G59" s="23" t="s">
        <v>10</v>
      </c>
      <c r="H59" s="24"/>
      <c r="I59" s="23" t="s">
        <v>11</v>
      </c>
      <c r="J59" s="24"/>
      <c r="K59" s="23" t="s">
        <v>12</v>
      </c>
      <c r="L59" s="24"/>
      <c r="M59" s="23" t="s">
        <v>13</v>
      </c>
      <c r="N59" s="24"/>
      <c r="O59" s="23" t="s">
        <v>14</v>
      </c>
      <c r="P59" s="24"/>
      <c r="Q59" s="23" t="s">
        <v>15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25.5" x14ac:dyDescent="0.25">
      <c r="A60" s="1"/>
      <c r="B60" s="34">
        <v>1</v>
      </c>
      <c r="C60" s="25" t="s">
        <v>16</v>
      </c>
      <c r="D60" s="26"/>
      <c r="E60" s="27">
        <v>1274</v>
      </c>
      <c r="F60" s="26"/>
      <c r="G60" s="27">
        <v>2800</v>
      </c>
      <c r="H60" s="26"/>
      <c r="I60" s="28">
        <v>55</v>
      </c>
      <c r="J60" s="26"/>
      <c r="K60" s="29">
        <v>5</v>
      </c>
      <c r="L60" s="1"/>
      <c r="M60" s="3">
        <v>4.8</v>
      </c>
      <c r="N60" s="1"/>
      <c r="O60" s="34" t="s">
        <v>17</v>
      </c>
      <c r="P60" s="26"/>
      <c r="Q60" s="34" t="s">
        <v>18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25.5" x14ac:dyDescent="0.25">
      <c r="A61" s="1"/>
      <c r="B61" s="35">
        <v>2</v>
      </c>
      <c r="C61" s="30" t="s">
        <v>19</v>
      </c>
      <c r="D61" s="26"/>
      <c r="E61" s="31">
        <v>2115</v>
      </c>
      <c r="F61" s="26"/>
      <c r="G61" s="31">
        <v>4700</v>
      </c>
      <c r="H61" s="26"/>
      <c r="I61" s="32">
        <v>55</v>
      </c>
      <c r="J61" s="26"/>
      <c r="K61" s="33">
        <v>13</v>
      </c>
      <c r="L61" s="1"/>
      <c r="M61" s="5">
        <v>2.1</v>
      </c>
      <c r="N61" s="1"/>
      <c r="O61" s="35" t="s">
        <v>17</v>
      </c>
      <c r="P61" s="26"/>
      <c r="Q61" s="35" t="s">
        <v>20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5.5" x14ac:dyDescent="0.25">
      <c r="A62" s="1"/>
      <c r="B62" s="34">
        <v>3</v>
      </c>
      <c r="C62" s="25" t="s">
        <v>21</v>
      </c>
      <c r="D62" s="26"/>
      <c r="E62" s="27">
        <v>2048</v>
      </c>
      <c r="F62" s="26"/>
      <c r="G62" s="27">
        <v>4500</v>
      </c>
      <c r="H62" s="26"/>
      <c r="I62" s="28">
        <v>54</v>
      </c>
      <c r="J62" s="26"/>
      <c r="K62" s="29">
        <v>7</v>
      </c>
      <c r="L62" s="1"/>
      <c r="M62" s="3">
        <v>4.3</v>
      </c>
      <c r="N62" s="1"/>
      <c r="O62" s="34" t="s">
        <v>17</v>
      </c>
      <c r="P62" s="26"/>
      <c r="Q62" s="34" t="s">
        <v>22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38.25" x14ac:dyDescent="0.25">
      <c r="A63" s="1"/>
      <c r="B63" s="35">
        <v>4</v>
      </c>
      <c r="C63" s="30" t="s">
        <v>23</v>
      </c>
      <c r="D63" s="26"/>
      <c r="E63" s="31">
        <v>458</v>
      </c>
      <c r="F63" s="26"/>
      <c r="G63" s="31">
        <v>986</v>
      </c>
      <c r="H63" s="26"/>
      <c r="I63" s="32">
        <v>54</v>
      </c>
      <c r="J63" s="26"/>
      <c r="K63" s="33">
        <v>10</v>
      </c>
      <c r="L63" s="1"/>
      <c r="M63" s="5">
        <v>3</v>
      </c>
      <c r="N63" s="1"/>
      <c r="O63" s="35" t="s">
        <v>17</v>
      </c>
      <c r="P63" s="26"/>
      <c r="Q63" s="35" t="s">
        <v>22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5.5" x14ac:dyDescent="0.25">
      <c r="A64" s="1"/>
      <c r="B64" s="34">
        <v>5</v>
      </c>
      <c r="C64" s="25" t="s">
        <v>24</v>
      </c>
      <c r="D64" s="26"/>
      <c r="E64" s="27">
        <v>38</v>
      </c>
      <c r="F64" s="26"/>
      <c r="G64" s="27">
        <v>80</v>
      </c>
      <c r="H64" s="26"/>
      <c r="I64" s="28">
        <v>53</v>
      </c>
      <c r="J64" s="26"/>
      <c r="K64" s="29">
        <v>13</v>
      </c>
      <c r="L64" s="1"/>
      <c r="M64" s="3">
        <v>3.3</v>
      </c>
      <c r="N64" s="1"/>
      <c r="O64" s="34" t="s">
        <v>17</v>
      </c>
      <c r="P64" s="26"/>
      <c r="Q64" s="34" t="s">
        <v>22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5.5" x14ac:dyDescent="0.25">
      <c r="A65" s="1"/>
      <c r="B65" s="35">
        <v>6</v>
      </c>
      <c r="C65" s="30" t="s">
        <v>25</v>
      </c>
      <c r="D65" s="26"/>
      <c r="E65" s="31">
        <v>171</v>
      </c>
      <c r="F65" s="26"/>
      <c r="G65" s="31">
        <v>360</v>
      </c>
      <c r="H65" s="26"/>
      <c r="I65" s="32">
        <v>53</v>
      </c>
      <c r="J65" s="26"/>
      <c r="K65" s="33">
        <v>2</v>
      </c>
      <c r="L65" s="1"/>
      <c r="M65" s="5">
        <v>5</v>
      </c>
      <c r="N65" s="1"/>
      <c r="O65" s="35" t="s">
        <v>17</v>
      </c>
      <c r="P65" s="26"/>
      <c r="Q65" s="35" t="s">
        <v>18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5.5" x14ac:dyDescent="0.25">
      <c r="A66" s="1"/>
      <c r="B66" s="34">
        <v>7</v>
      </c>
      <c r="C66" s="25" t="s">
        <v>26</v>
      </c>
      <c r="D66" s="26"/>
      <c r="E66" s="27">
        <v>185</v>
      </c>
      <c r="F66" s="26"/>
      <c r="G66" s="27">
        <v>382</v>
      </c>
      <c r="H66" s="26"/>
      <c r="I66" s="28">
        <v>52</v>
      </c>
      <c r="J66" s="26"/>
      <c r="K66" s="29">
        <v>9</v>
      </c>
      <c r="L66" s="1"/>
      <c r="M66" s="3">
        <v>4.3</v>
      </c>
      <c r="N66" s="1"/>
      <c r="O66" s="34" t="s">
        <v>17</v>
      </c>
      <c r="P66" s="26"/>
      <c r="Q66" s="34" t="s">
        <v>22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5.5" x14ac:dyDescent="0.25">
      <c r="A67" s="1"/>
      <c r="B67" s="35">
        <v>8</v>
      </c>
      <c r="C67" s="30" t="s">
        <v>27</v>
      </c>
      <c r="D67" s="26"/>
      <c r="E67" s="31">
        <v>325</v>
      </c>
      <c r="F67" s="26"/>
      <c r="G67" s="31">
        <v>680</v>
      </c>
      <c r="H67" s="26"/>
      <c r="I67" s="32">
        <v>52</v>
      </c>
      <c r="J67" s="26"/>
      <c r="K67" s="33">
        <v>15</v>
      </c>
      <c r="L67" s="1"/>
      <c r="M67" s="5">
        <v>2.7</v>
      </c>
      <c r="N67" s="1"/>
      <c r="O67" s="35" t="s">
        <v>17</v>
      </c>
      <c r="P67" s="26"/>
      <c r="Q67" s="35" t="s">
        <v>20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5.5" x14ac:dyDescent="0.25">
      <c r="A68" s="1"/>
      <c r="B68" s="34">
        <v>9</v>
      </c>
      <c r="C68" s="25" t="s">
        <v>28</v>
      </c>
      <c r="D68" s="26"/>
      <c r="E68" s="27">
        <v>332</v>
      </c>
      <c r="F68" s="26"/>
      <c r="G68" s="27">
        <v>684</v>
      </c>
      <c r="H68" s="26"/>
      <c r="I68" s="28">
        <v>51</v>
      </c>
      <c r="J68" s="26"/>
      <c r="K68" s="29">
        <v>2</v>
      </c>
      <c r="L68" s="1"/>
      <c r="M68" s="3">
        <v>5</v>
      </c>
      <c r="N68" s="1"/>
      <c r="O68" s="34" t="s">
        <v>17</v>
      </c>
      <c r="P68" s="26"/>
      <c r="Q68" s="34" t="s">
        <v>18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5.5" x14ac:dyDescent="0.25">
      <c r="A69" s="1"/>
      <c r="B69" s="35">
        <v>10</v>
      </c>
      <c r="C69" s="30" t="s">
        <v>29</v>
      </c>
      <c r="D69" s="26"/>
      <c r="E69" s="31">
        <v>1000</v>
      </c>
      <c r="F69" s="26"/>
      <c r="G69" s="31">
        <v>2000</v>
      </c>
      <c r="H69" s="26"/>
      <c r="I69" s="32">
        <v>50</v>
      </c>
      <c r="J69" s="26"/>
      <c r="K69" s="33">
        <v>7</v>
      </c>
      <c r="L69" s="1"/>
      <c r="M69" s="5">
        <v>2.2999999999999998</v>
      </c>
      <c r="N69" s="1"/>
      <c r="O69" s="35" t="s">
        <v>17</v>
      </c>
      <c r="P69" s="26"/>
      <c r="Q69" s="35" t="s">
        <v>20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21">
    <mergeCell ref="B58:S58"/>
    <mergeCell ref="Q6:S6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A1:T2"/>
    <mergeCell ref="A3:T3"/>
    <mergeCell ref="B5:D5"/>
    <mergeCell ref="E5:G5"/>
    <mergeCell ref="H5:J5"/>
    <mergeCell ref="K5:M5"/>
    <mergeCell ref="N5:P5"/>
    <mergeCell ref="Q5:S5"/>
  </mergeCells>
  <conditionalFormatting sqref="M60:M69">
    <cfRule type="colorScale" priority="2">
      <colorScale>
        <cfvo type="num" val="3"/>
        <cfvo type="num" val="4"/>
        <cfvo type="num" val="5"/>
        <color rgb="FFE74C3C"/>
        <color rgb="FFF1C40F"/>
        <color rgb="FF27AE6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showGridLines="0" topLeftCell="A11" zoomScaleNormal="100" workbookViewId="0">
      <selection activeCell="F4" sqref="F4:F60"/>
    </sheetView>
  </sheetViews>
  <sheetFormatPr defaultColWidth="8.7109375" defaultRowHeight="15" x14ac:dyDescent="0.25"/>
  <cols>
    <col min="1" max="1" width="45" customWidth="1"/>
    <col min="2" max="3" width="15" customWidth="1"/>
    <col min="4" max="4" width="20" customWidth="1"/>
    <col min="5" max="5" width="14" customWidth="1"/>
    <col min="6" max="6" width="12" customWidth="1"/>
    <col min="7" max="7" width="10" customWidth="1"/>
    <col min="8" max="8" width="16" customWidth="1"/>
    <col min="9" max="9" width="18" customWidth="1"/>
  </cols>
  <sheetData>
    <row r="1" spans="1:9" ht="30" customHeight="1" x14ac:dyDescent="0.25">
      <c r="A1" s="36" t="s">
        <v>106</v>
      </c>
      <c r="B1" s="37"/>
      <c r="C1" s="37"/>
      <c r="D1" s="37"/>
      <c r="E1" s="37"/>
      <c r="F1" s="37"/>
      <c r="G1" s="37"/>
      <c r="H1" s="37"/>
      <c r="I1" s="37"/>
    </row>
    <row r="2" spans="1:9" ht="4.5" customHeight="1" x14ac:dyDescent="0.25"/>
    <row r="3" spans="1:9" ht="21.75" customHeight="1" x14ac:dyDescent="0.25">
      <c r="A3" s="38" t="s">
        <v>8</v>
      </c>
      <c r="B3" s="38" t="s">
        <v>30</v>
      </c>
      <c r="C3" s="38" t="s">
        <v>31</v>
      </c>
      <c r="D3" s="38" t="s">
        <v>32</v>
      </c>
      <c r="E3" s="38" t="s">
        <v>11</v>
      </c>
      <c r="F3" s="38" t="s">
        <v>12</v>
      </c>
      <c r="G3" s="38" t="s">
        <v>13</v>
      </c>
      <c r="H3" s="38" t="s">
        <v>15</v>
      </c>
      <c r="I3" s="38" t="s">
        <v>14</v>
      </c>
    </row>
    <row r="4" spans="1:9" ht="25.5" x14ac:dyDescent="0.25">
      <c r="A4" s="25" t="s">
        <v>33</v>
      </c>
      <c r="B4" s="27">
        <v>950</v>
      </c>
      <c r="C4" s="27">
        <v>1525</v>
      </c>
      <c r="D4" s="27">
        <v>575</v>
      </c>
      <c r="E4" s="2">
        <v>38</v>
      </c>
      <c r="F4" s="28">
        <v>2</v>
      </c>
      <c r="G4" s="2">
        <v>4.5</v>
      </c>
      <c r="H4" s="25" t="s">
        <v>18</v>
      </c>
      <c r="I4" s="25" t="s">
        <v>34</v>
      </c>
    </row>
    <row r="5" spans="1:9" ht="25.5" x14ac:dyDescent="0.25">
      <c r="A5" s="30" t="s">
        <v>35</v>
      </c>
      <c r="B5" s="31">
        <v>527</v>
      </c>
      <c r="C5" s="31">
        <v>999</v>
      </c>
      <c r="D5" s="31">
        <v>472</v>
      </c>
      <c r="E5" s="4">
        <v>47</v>
      </c>
      <c r="F5" s="32">
        <v>14</v>
      </c>
      <c r="G5" s="4">
        <v>4.0999999999999996</v>
      </c>
      <c r="H5" s="30" t="s">
        <v>22</v>
      </c>
      <c r="I5" s="30" t="s">
        <v>17</v>
      </c>
    </row>
    <row r="6" spans="1:9" x14ac:dyDescent="0.25">
      <c r="A6" s="25" t="s">
        <v>36</v>
      </c>
      <c r="B6" s="27">
        <v>2199</v>
      </c>
      <c r="C6" s="27">
        <v>2923</v>
      </c>
      <c r="D6" s="27">
        <v>724</v>
      </c>
      <c r="E6" s="2">
        <v>25</v>
      </c>
      <c r="F6" s="28">
        <v>24</v>
      </c>
      <c r="G6" s="2">
        <v>4.5999999999999996</v>
      </c>
      <c r="H6" s="25" t="s">
        <v>18</v>
      </c>
      <c r="I6" s="25" t="s">
        <v>34</v>
      </c>
    </row>
    <row r="7" spans="1:9" ht="25.5" x14ac:dyDescent="0.25">
      <c r="A7" s="30" t="s">
        <v>37</v>
      </c>
      <c r="B7" s="31">
        <v>1580</v>
      </c>
      <c r="C7" s="31">
        <v>2499</v>
      </c>
      <c r="D7" s="31">
        <v>919</v>
      </c>
      <c r="E7" s="4">
        <v>37</v>
      </c>
      <c r="F7" s="32">
        <v>7</v>
      </c>
      <c r="G7" s="4">
        <v>4.7</v>
      </c>
      <c r="H7" s="30" t="s">
        <v>18</v>
      </c>
      <c r="I7" s="30" t="s">
        <v>34</v>
      </c>
    </row>
    <row r="8" spans="1:9" ht="25.5" x14ac:dyDescent="0.25">
      <c r="A8" s="25" t="s">
        <v>38</v>
      </c>
      <c r="B8" s="27">
        <v>1740</v>
      </c>
      <c r="C8" s="27">
        <v>2356</v>
      </c>
      <c r="D8" s="27">
        <v>616</v>
      </c>
      <c r="E8" s="2">
        <v>26</v>
      </c>
      <c r="F8" s="28">
        <v>5</v>
      </c>
      <c r="G8" s="2">
        <v>4.8</v>
      </c>
      <c r="H8" s="25" t="s">
        <v>18</v>
      </c>
      <c r="I8" s="25" t="s">
        <v>34</v>
      </c>
    </row>
    <row r="9" spans="1:9" ht="25.5" x14ac:dyDescent="0.25">
      <c r="A9" s="30" t="s">
        <v>39</v>
      </c>
      <c r="B9" s="31">
        <v>2999</v>
      </c>
      <c r="C9" s="31">
        <v>3290</v>
      </c>
      <c r="D9" s="31">
        <v>291</v>
      </c>
      <c r="E9" s="4">
        <v>9</v>
      </c>
      <c r="F9" s="32">
        <v>15</v>
      </c>
      <c r="G9" s="4">
        <v>4</v>
      </c>
      <c r="H9" s="30" t="s">
        <v>22</v>
      </c>
      <c r="I9" s="30" t="s">
        <v>40</v>
      </c>
    </row>
    <row r="10" spans="1:9" ht="25.5" x14ac:dyDescent="0.25">
      <c r="A10" s="25" t="s">
        <v>41</v>
      </c>
      <c r="B10" s="27">
        <v>2319</v>
      </c>
      <c r="C10" s="27">
        <v>3032</v>
      </c>
      <c r="D10" s="27">
        <v>713</v>
      </c>
      <c r="E10" s="2">
        <v>24</v>
      </c>
      <c r="F10" s="28">
        <v>55</v>
      </c>
      <c r="G10" s="2">
        <v>4.5999999999999996</v>
      </c>
      <c r="H10" s="25" t="s">
        <v>18</v>
      </c>
      <c r="I10" s="25" t="s">
        <v>34</v>
      </c>
    </row>
    <row r="11" spans="1:9" ht="25.5" x14ac:dyDescent="0.25">
      <c r="A11" s="30" t="s">
        <v>42</v>
      </c>
      <c r="B11" s="31">
        <v>988</v>
      </c>
      <c r="C11" s="31">
        <v>1580</v>
      </c>
      <c r="D11" s="31">
        <v>592</v>
      </c>
      <c r="E11" s="4">
        <v>37</v>
      </c>
      <c r="F11" s="32">
        <v>2</v>
      </c>
      <c r="G11" s="4">
        <v>4</v>
      </c>
      <c r="H11" s="30" t="s">
        <v>22</v>
      </c>
      <c r="I11" s="30" t="s">
        <v>34</v>
      </c>
    </row>
    <row r="12" spans="1:9" x14ac:dyDescent="0.25">
      <c r="A12" s="25" t="s">
        <v>16</v>
      </c>
      <c r="B12" s="27">
        <v>1274</v>
      </c>
      <c r="C12" s="27">
        <v>2800</v>
      </c>
      <c r="D12" s="27">
        <v>1526</v>
      </c>
      <c r="E12" s="2">
        <v>55</v>
      </c>
      <c r="F12" s="28">
        <v>5</v>
      </c>
      <c r="G12" s="2">
        <v>4.8</v>
      </c>
      <c r="H12" s="25" t="s">
        <v>18</v>
      </c>
      <c r="I12" s="25" t="s">
        <v>17</v>
      </c>
    </row>
    <row r="13" spans="1:9" x14ac:dyDescent="0.25">
      <c r="A13" s="30" t="s">
        <v>43</v>
      </c>
      <c r="B13" s="31">
        <v>1600</v>
      </c>
      <c r="C13" s="31">
        <v>2929</v>
      </c>
      <c r="D13" s="31">
        <v>1329</v>
      </c>
      <c r="E13" s="4">
        <v>45</v>
      </c>
      <c r="F13" s="32">
        <v>5</v>
      </c>
      <c r="G13" s="4">
        <v>3.8</v>
      </c>
      <c r="H13" s="30" t="s">
        <v>22</v>
      </c>
      <c r="I13" s="30" t="s">
        <v>17</v>
      </c>
    </row>
    <row r="14" spans="1:9" ht="25.5" x14ac:dyDescent="0.25">
      <c r="A14" s="25" t="s">
        <v>44</v>
      </c>
      <c r="B14" s="27">
        <v>799</v>
      </c>
      <c r="C14" s="27">
        <v>999</v>
      </c>
      <c r="D14" s="27">
        <v>200</v>
      </c>
      <c r="E14" s="2">
        <v>20</v>
      </c>
      <c r="F14" s="28">
        <v>12</v>
      </c>
      <c r="G14" s="2">
        <v>4.0999999999999996</v>
      </c>
      <c r="H14" s="25" t="s">
        <v>22</v>
      </c>
      <c r="I14" s="25" t="s">
        <v>34</v>
      </c>
    </row>
    <row r="15" spans="1:9" ht="25.5" x14ac:dyDescent="0.25">
      <c r="A15" s="30" t="s">
        <v>45</v>
      </c>
      <c r="B15" s="31">
        <v>990</v>
      </c>
      <c r="C15" s="31">
        <v>1500</v>
      </c>
      <c r="D15" s="31">
        <v>510</v>
      </c>
      <c r="E15" s="4">
        <v>34</v>
      </c>
      <c r="F15" s="32">
        <v>39</v>
      </c>
      <c r="G15" s="4">
        <v>4.7</v>
      </c>
      <c r="H15" s="30" t="s">
        <v>18</v>
      </c>
      <c r="I15" s="30" t="s">
        <v>34</v>
      </c>
    </row>
    <row r="16" spans="1:9" x14ac:dyDescent="0.25">
      <c r="A16" s="25" t="s">
        <v>46</v>
      </c>
      <c r="B16" s="27">
        <v>552</v>
      </c>
      <c r="C16" s="27">
        <v>1035</v>
      </c>
      <c r="D16" s="27">
        <v>483</v>
      </c>
      <c r="E16" s="2">
        <v>47</v>
      </c>
      <c r="F16" s="28">
        <v>12</v>
      </c>
      <c r="G16" s="2">
        <v>4.8</v>
      </c>
      <c r="H16" s="25" t="s">
        <v>18</v>
      </c>
      <c r="I16" s="25" t="s">
        <v>17</v>
      </c>
    </row>
    <row r="17" spans="1:9" x14ac:dyDescent="0.25">
      <c r="A17" s="30" t="s">
        <v>47</v>
      </c>
      <c r="B17" s="31">
        <v>501</v>
      </c>
      <c r="C17" s="31">
        <v>860</v>
      </c>
      <c r="D17" s="31">
        <v>359</v>
      </c>
      <c r="E17" s="4">
        <v>42</v>
      </c>
      <c r="F17" s="32">
        <v>6</v>
      </c>
      <c r="G17" s="4">
        <v>4.5</v>
      </c>
      <c r="H17" s="30" t="s">
        <v>18</v>
      </c>
      <c r="I17" s="30" t="s">
        <v>17</v>
      </c>
    </row>
    <row r="18" spans="1:9" x14ac:dyDescent="0.25">
      <c r="A18" s="25" t="s">
        <v>48</v>
      </c>
      <c r="B18" s="27">
        <v>1680</v>
      </c>
      <c r="C18" s="27">
        <v>2499</v>
      </c>
      <c r="D18" s="27">
        <v>819</v>
      </c>
      <c r="E18" s="2">
        <v>33</v>
      </c>
      <c r="F18" s="28">
        <v>9</v>
      </c>
      <c r="G18" s="2">
        <v>4.2</v>
      </c>
      <c r="H18" s="25" t="s">
        <v>22</v>
      </c>
      <c r="I18" s="25" t="s">
        <v>34</v>
      </c>
    </row>
    <row r="19" spans="1:9" ht="25.5" x14ac:dyDescent="0.25">
      <c r="A19" s="30" t="s">
        <v>28</v>
      </c>
      <c r="B19" s="31">
        <v>332</v>
      </c>
      <c r="C19" s="31">
        <v>684</v>
      </c>
      <c r="D19" s="31">
        <v>352</v>
      </c>
      <c r="E19" s="4">
        <v>51</v>
      </c>
      <c r="F19" s="32">
        <v>2</v>
      </c>
      <c r="G19" s="4">
        <v>5</v>
      </c>
      <c r="H19" s="30" t="s">
        <v>18</v>
      </c>
      <c r="I19" s="30" t="s">
        <v>17</v>
      </c>
    </row>
    <row r="20" spans="1:9" ht="25.5" x14ac:dyDescent="0.25">
      <c r="A20" s="25" t="s">
        <v>49</v>
      </c>
      <c r="B20" s="27">
        <v>195</v>
      </c>
      <c r="C20" s="27">
        <v>360</v>
      </c>
      <c r="D20" s="27">
        <v>165</v>
      </c>
      <c r="E20" s="2">
        <v>46</v>
      </c>
      <c r="F20" s="28">
        <v>2</v>
      </c>
      <c r="G20" s="2">
        <v>5</v>
      </c>
      <c r="H20" s="25" t="s">
        <v>18</v>
      </c>
      <c r="I20" s="25" t="s">
        <v>17</v>
      </c>
    </row>
    <row r="21" spans="1:9" ht="25.5" x14ac:dyDescent="0.25">
      <c r="A21" s="30" t="s">
        <v>50</v>
      </c>
      <c r="B21" s="31">
        <v>2025</v>
      </c>
      <c r="C21" s="31">
        <v>3971</v>
      </c>
      <c r="D21" s="31">
        <v>1946</v>
      </c>
      <c r="E21" s="4">
        <v>49</v>
      </c>
      <c r="F21" s="32">
        <v>3</v>
      </c>
      <c r="G21" s="4">
        <v>5</v>
      </c>
      <c r="H21" s="30" t="s">
        <v>18</v>
      </c>
      <c r="I21" s="30" t="s">
        <v>17</v>
      </c>
    </row>
    <row r="22" spans="1:9" ht="25.5" x14ac:dyDescent="0.25">
      <c r="A22" s="25" t="s">
        <v>51</v>
      </c>
      <c r="B22" s="27">
        <v>2999</v>
      </c>
      <c r="C22" s="27">
        <v>3699</v>
      </c>
      <c r="D22" s="27">
        <v>700</v>
      </c>
      <c r="E22" s="2">
        <v>19</v>
      </c>
      <c r="F22" s="28">
        <v>5</v>
      </c>
      <c r="G22" s="2">
        <v>4.5999999999999996</v>
      </c>
      <c r="H22" s="25" t="s">
        <v>18</v>
      </c>
      <c r="I22" s="25" t="s">
        <v>40</v>
      </c>
    </row>
    <row r="23" spans="1:9" ht="25.5" x14ac:dyDescent="0.25">
      <c r="A23" s="30" t="s">
        <v>52</v>
      </c>
      <c r="B23" s="31">
        <v>998</v>
      </c>
      <c r="C23" s="31">
        <v>1966</v>
      </c>
      <c r="D23" s="31">
        <v>968</v>
      </c>
      <c r="E23" s="4">
        <v>49</v>
      </c>
      <c r="F23" s="32">
        <v>44</v>
      </c>
      <c r="G23" s="4">
        <v>4.5999999999999996</v>
      </c>
      <c r="H23" s="30" t="s">
        <v>18</v>
      </c>
      <c r="I23" s="30" t="s">
        <v>17</v>
      </c>
    </row>
    <row r="24" spans="1:9" ht="25.5" x14ac:dyDescent="0.25">
      <c r="A24" s="25" t="s">
        <v>24</v>
      </c>
      <c r="B24" s="27">
        <v>38</v>
      </c>
      <c r="C24" s="27">
        <v>80</v>
      </c>
      <c r="D24" s="27">
        <v>42</v>
      </c>
      <c r="E24" s="2">
        <v>53</v>
      </c>
      <c r="F24" s="28">
        <v>13</v>
      </c>
      <c r="G24" s="2">
        <v>3.3</v>
      </c>
      <c r="H24" s="25" t="s">
        <v>22</v>
      </c>
      <c r="I24" s="25" t="s">
        <v>17</v>
      </c>
    </row>
    <row r="25" spans="1:9" ht="25.5" x14ac:dyDescent="0.25">
      <c r="A25" s="30" t="s">
        <v>53</v>
      </c>
      <c r="B25" s="31">
        <v>880</v>
      </c>
      <c r="C25" s="31">
        <v>1350</v>
      </c>
      <c r="D25" s="31">
        <v>470</v>
      </c>
      <c r="E25" s="4">
        <v>35</v>
      </c>
      <c r="F25" s="32">
        <v>6</v>
      </c>
      <c r="G25" s="4">
        <v>4</v>
      </c>
      <c r="H25" s="30" t="s">
        <v>22</v>
      </c>
      <c r="I25" s="30" t="s">
        <v>34</v>
      </c>
    </row>
    <row r="26" spans="1:9" x14ac:dyDescent="0.25">
      <c r="A26" s="25" t="s">
        <v>54</v>
      </c>
      <c r="B26" s="27">
        <v>1650</v>
      </c>
      <c r="C26" s="27">
        <v>2150</v>
      </c>
      <c r="D26" s="27">
        <v>500</v>
      </c>
      <c r="E26" s="2">
        <v>23</v>
      </c>
      <c r="F26" s="28">
        <v>14</v>
      </c>
      <c r="G26" s="2">
        <v>4.4000000000000004</v>
      </c>
      <c r="H26" s="25" t="s">
        <v>22</v>
      </c>
      <c r="I26" s="25" t="s">
        <v>34</v>
      </c>
    </row>
    <row r="27" spans="1:9" x14ac:dyDescent="0.25">
      <c r="A27" s="30" t="s">
        <v>21</v>
      </c>
      <c r="B27" s="31">
        <v>2048</v>
      </c>
      <c r="C27" s="31">
        <v>4500</v>
      </c>
      <c r="D27" s="31">
        <v>2452</v>
      </c>
      <c r="E27" s="4">
        <v>54</v>
      </c>
      <c r="F27" s="32">
        <v>7</v>
      </c>
      <c r="G27" s="4">
        <v>4.3</v>
      </c>
      <c r="H27" s="30" t="s">
        <v>22</v>
      </c>
      <c r="I27" s="30" t="s">
        <v>17</v>
      </c>
    </row>
    <row r="28" spans="1:9" x14ac:dyDescent="0.25">
      <c r="A28" s="25" t="s">
        <v>55</v>
      </c>
      <c r="B28" s="27">
        <v>420</v>
      </c>
      <c r="C28" s="27">
        <v>647</v>
      </c>
      <c r="D28" s="27">
        <v>227</v>
      </c>
      <c r="E28" s="2">
        <v>35</v>
      </c>
      <c r="F28" s="28">
        <v>49</v>
      </c>
      <c r="G28" s="2">
        <v>4.5999999999999996</v>
      </c>
      <c r="H28" s="25" t="s">
        <v>18</v>
      </c>
      <c r="I28" s="25" t="s">
        <v>34</v>
      </c>
    </row>
    <row r="29" spans="1:9" ht="25.5" x14ac:dyDescent="0.25">
      <c r="A29" s="30" t="s">
        <v>56</v>
      </c>
      <c r="B29" s="31">
        <v>2880</v>
      </c>
      <c r="C29" s="31">
        <v>3520</v>
      </c>
      <c r="D29" s="31">
        <v>640</v>
      </c>
      <c r="E29" s="4">
        <v>18</v>
      </c>
      <c r="F29" s="32">
        <v>12</v>
      </c>
      <c r="G29" s="4">
        <v>3.8</v>
      </c>
      <c r="H29" s="30" t="s">
        <v>22</v>
      </c>
      <c r="I29" s="30" t="s">
        <v>40</v>
      </c>
    </row>
    <row r="30" spans="1:9" x14ac:dyDescent="0.25">
      <c r="A30" s="25" t="s">
        <v>57</v>
      </c>
      <c r="B30" s="27">
        <v>1350</v>
      </c>
      <c r="C30" s="27">
        <v>1990</v>
      </c>
      <c r="D30" s="27">
        <v>640</v>
      </c>
      <c r="E30" s="2">
        <v>32</v>
      </c>
      <c r="F30" s="28">
        <v>13</v>
      </c>
      <c r="G30" s="2">
        <v>3.8</v>
      </c>
      <c r="H30" s="25" t="s">
        <v>22</v>
      </c>
      <c r="I30" s="25" t="s">
        <v>34</v>
      </c>
    </row>
    <row r="31" spans="1:9" ht="25.5" x14ac:dyDescent="0.25">
      <c r="A31" s="30" t="s">
        <v>58</v>
      </c>
      <c r="B31" s="31">
        <v>1758</v>
      </c>
      <c r="C31" s="31">
        <v>2499</v>
      </c>
      <c r="D31" s="31">
        <v>741</v>
      </c>
      <c r="E31" s="4">
        <v>30</v>
      </c>
      <c r="F31" s="32">
        <v>20</v>
      </c>
      <c r="G31" s="4">
        <v>4.0999999999999996</v>
      </c>
      <c r="H31" s="30" t="s">
        <v>22</v>
      </c>
      <c r="I31" s="30" t="s">
        <v>34</v>
      </c>
    </row>
    <row r="32" spans="1:9" x14ac:dyDescent="0.25">
      <c r="A32" s="25" t="s">
        <v>26</v>
      </c>
      <c r="B32" s="27">
        <v>185</v>
      </c>
      <c r="C32" s="27">
        <v>382</v>
      </c>
      <c r="D32" s="27">
        <v>197</v>
      </c>
      <c r="E32" s="2">
        <v>52</v>
      </c>
      <c r="F32" s="28">
        <v>9</v>
      </c>
      <c r="G32" s="2">
        <v>4.3</v>
      </c>
      <c r="H32" s="25" t="s">
        <v>22</v>
      </c>
      <c r="I32" s="25" t="s">
        <v>17</v>
      </c>
    </row>
    <row r="33" spans="1:9" x14ac:dyDescent="0.25">
      <c r="A33" s="30" t="s">
        <v>59</v>
      </c>
      <c r="B33" s="31">
        <v>980</v>
      </c>
      <c r="C33" s="31">
        <v>1490</v>
      </c>
      <c r="D33" s="31">
        <v>510</v>
      </c>
      <c r="E33" s="4">
        <v>34</v>
      </c>
      <c r="F33" s="32">
        <v>12</v>
      </c>
      <c r="G33" s="4">
        <v>4.7</v>
      </c>
      <c r="H33" s="30" t="s">
        <v>18</v>
      </c>
      <c r="I33" s="30" t="s">
        <v>34</v>
      </c>
    </row>
    <row r="34" spans="1:9" ht="25.5" x14ac:dyDescent="0.25">
      <c r="A34" s="25" t="s">
        <v>60</v>
      </c>
      <c r="B34" s="27">
        <v>1820</v>
      </c>
      <c r="C34" s="27">
        <v>3490</v>
      </c>
      <c r="D34" s="27">
        <v>1670</v>
      </c>
      <c r="E34" s="2">
        <v>48</v>
      </c>
      <c r="F34" s="28">
        <v>9</v>
      </c>
      <c r="G34" s="2">
        <v>4.3</v>
      </c>
      <c r="H34" s="25" t="s">
        <v>22</v>
      </c>
      <c r="I34" s="25" t="s">
        <v>17</v>
      </c>
    </row>
    <row r="35" spans="1:9" ht="25.5" x14ac:dyDescent="0.25">
      <c r="A35" s="30" t="s">
        <v>61</v>
      </c>
      <c r="B35" s="31">
        <v>1940</v>
      </c>
      <c r="C35" s="31">
        <v>2650</v>
      </c>
      <c r="D35" s="31">
        <v>710</v>
      </c>
      <c r="E35" s="4">
        <v>27</v>
      </c>
      <c r="F35" s="32">
        <v>20</v>
      </c>
      <c r="G35" s="4">
        <v>4.7</v>
      </c>
      <c r="H35" s="30" t="s">
        <v>18</v>
      </c>
      <c r="I35" s="30" t="s">
        <v>34</v>
      </c>
    </row>
    <row r="36" spans="1:9" ht="25.5" x14ac:dyDescent="0.25">
      <c r="A36" s="25" t="s">
        <v>62</v>
      </c>
      <c r="B36" s="27">
        <v>1980</v>
      </c>
      <c r="C36" s="27">
        <v>2699</v>
      </c>
      <c r="D36" s="27">
        <v>719</v>
      </c>
      <c r="E36" s="2">
        <v>27</v>
      </c>
      <c r="F36" s="28">
        <v>32</v>
      </c>
      <c r="G36" s="2">
        <v>4.5</v>
      </c>
      <c r="H36" s="25" t="s">
        <v>18</v>
      </c>
      <c r="I36" s="25" t="s">
        <v>34</v>
      </c>
    </row>
    <row r="37" spans="1:9" ht="25.5" x14ac:dyDescent="0.25">
      <c r="A37" s="30" t="s">
        <v>63</v>
      </c>
      <c r="B37" s="31">
        <v>1620</v>
      </c>
      <c r="C37" s="31">
        <v>2690</v>
      </c>
      <c r="D37" s="31">
        <v>1070</v>
      </c>
      <c r="E37" s="4">
        <v>40</v>
      </c>
      <c r="F37" s="32">
        <v>1</v>
      </c>
      <c r="G37" s="4">
        <v>5</v>
      </c>
      <c r="H37" s="30" t="s">
        <v>18</v>
      </c>
      <c r="I37" s="30" t="s">
        <v>34</v>
      </c>
    </row>
    <row r="38" spans="1:9" ht="25.5" x14ac:dyDescent="0.25">
      <c r="A38" s="25" t="s">
        <v>25</v>
      </c>
      <c r="B38" s="27">
        <v>171</v>
      </c>
      <c r="C38" s="27">
        <v>360</v>
      </c>
      <c r="D38" s="27">
        <v>189</v>
      </c>
      <c r="E38" s="2">
        <v>53</v>
      </c>
      <c r="F38" s="28">
        <v>2</v>
      </c>
      <c r="G38" s="2">
        <v>5</v>
      </c>
      <c r="H38" s="25" t="s">
        <v>18</v>
      </c>
      <c r="I38" s="25" t="s">
        <v>17</v>
      </c>
    </row>
    <row r="39" spans="1:9" ht="25.5" x14ac:dyDescent="0.25">
      <c r="A39" s="30" t="s">
        <v>64</v>
      </c>
      <c r="B39" s="31">
        <v>389</v>
      </c>
      <c r="C39" s="31">
        <v>656</v>
      </c>
      <c r="D39" s="31">
        <v>267</v>
      </c>
      <c r="E39" s="4">
        <v>41</v>
      </c>
      <c r="F39" s="32">
        <v>36</v>
      </c>
      <c r="G39" s="4">
        <v>4.3</v>
      </c>
      <c r="H39" s="30" t="s">
        <v>22</v>
      </c>
      <c r="I39" s="30" t="s">
        <v>17</v>
      </c>
    </row>
    <row r="40" spans="1:9" ht="25.5" x14ac:dyDescent="0.25">
      <c r="A40" s="25" t="s">
        <v>65</v>
      </c>
      <c r="B40" s="27">
        <v>1800</v>
      </c>
      <c r="C40" s="27">
        <v>2700</v>
      </c>
      <c r="D40" s="27">
        <v>900</v>
      </c>
      <c r="E40" s="2">
        <v>38</v>
      </c>
      <c r="F40" s="28">
        <v>2</v>
      </c>
      <c r="G40" s="2">
        <v>4.5</v>
      </c>
      <c r="H40" s="25" t="s">
        <v>18</v>
      </c>
      <c r="I40" s="25" t="s">
        <v>34</v>
      </c>
    </row>
    <row r="41" spans="1:9" ht="25.5" x14ac:dyDescent="0.25">
      <c r="A41" s="30" t="s">
        <v>66</v>
      </c>
      <c r="B41" s="31">
        <v>2170</v>
      </c>
      <c r="C41" s="31">
        <v>2500</v>
      </c>
      <c r="D41" s="31">
        <v>330</v>
      </c>
      <c r="E41" s="4">
        <v>13</v>
      </c>
      <c r="F41" s="32">
        <v>6</v>
      </c>
      <c r="G41" s="4">
        <v>2.5</v>
      </c>
      <c r="H41" s="30" t="s">
        <v>20</v>
      </c>
      <c r="I41" s="30" t="s">
        <v>40</v>
      </c>
    </row>
    <row r="42" spans="1:9" ht="25.5" x14ac:dyDescent="0.25">
      <c r="A42" s="25" t="s">
        <v>23</v>
      </c>
      <c r="B42" s="27">
        <v>458</v>
      </c>
      <c r="C42" s="27">
        <v>986</v>
      </c>
      <c r="D42" s="27">
        <v>528</v>
      </c>
      <c r="E42" s="2">
        <v>54</v>
      </c>
      <c r="F42" s="28">
        <v>10</v>
      </c>
      <c r="G42" s="2">
        <v>3</v>
      </c>
      <c r="H42" s="25" t="s">
        <v>22</v>
      </c>
      <c r="I42" s="25" t="s">
        <v>17</v>
      </c>
    </row>
    <row r="43" spans="1:9" ht="25.5" x14ac:dyDescent="0.25">
      <c r="A43" s="30" t="s">
        <v>19</v>
      </c>
      <c r="B43" s="31">
        <v>2115</v>
      </c>
      <c r="C43" s="31">
        <v>4700</v>
      </c>
      <c r="D43" s="31">
        <v>2585</v>
      </c>
      <c r="E43" s="4">
        <v>55</v>
      </c>
      <c r="F43" s="32">
        <v>13</v>
      </c>
      <c r="G43" s="4">
        <v>2.1</v>
      </c>
      <c r="H43" s="30" t="s">
        <v>20</v>
      </c>
      <c r="I43" s="30" t="s">
        <v>17</v>
      </c>
    </row>
    <row r="44" spans="1:9" ht="25.5" x14ac:dyDescent="0.25">
      <c r="A44" s="25" t="s">
        <v>67</v>
      </c>
      <c r="B44" s="27">
        <v>445</v>
      </c>
      <c r="C44" s="27">
        <v>873</v>
      </c>
      <c r="D44" s="27">
        <v>428</v>
      </c>
      <c r="E44" s="2">
        <v>49</v>
      </c>
      <c r="F44" s="28">
        <v>69</v>
      </c>
      <c r="G44" s="2">
        <v>2.8</v>
      </c>
      <c r="H44" s="25" t="s">
        <v>20</v>
      </c>
      <c r="I44" s="25" t="s">
        <v>17</v>
      </c>
    </row>
    <row r="45" spans="1:9" ht="25.5" x14ac:dyDescent="0.25">
      <c r="A45" s="30" t="s">
        <v>27</v>
      </c>
      <c r="B45" s="31">
        <v>325</v>
      </c>
      <c r="C45" s="31">
        <v>680</v>
      </c>
      <c r="D45" s="31">
        <v>355</v>
      </c>
      <c r="E45" s="4">
        <v>52</v>
      </c>
      <c r="F45" s="32">
        <v>15</v>
      </c>
      <c r="G45" s="4">
        <v>2.7</v>
      </c>
      <c r="H45" s="30" t="s">
        <v>20</v>
      </c>
      <c r="I45" s="30" t="s">
        <v>17</v>
      </c>
    </row>
    <row r="46" spans="1:9" ht="25.5" x14ac:dyDescent="0.25">
      <c r="A46" s="25" t="s">
        <v>68</v>
      </c>
      <c r="B46" s="27">
        <v>1220</v>
      </c>
      <c r="C46" s="27">
        <v>1555</v>
      </c>
      <c r="D46" s="27">
        <v>335</v>
      </c>
      <c r="E46" s="2">
        <v>22</v>
      </c>
      <c r="F46" s="28">
        <v>16</v>
      </c>
      <c r="G46" s="2">
        <v>2.9</v>
      </c>
      <c r="H46" s="25" t="s">
        <v>20</v>
      </c>
      <c r="I46" s="25" t="s">
        <v>34</v>
      </c>
    </row>
    <row r="47" spans="1:9" ht="25.5" x14ac:dyDescent="0.25">
      <c r="A47" s="30" t="s">
        <v>69</v>
      </c>
      <c r="B47" s="31">
        <v>990</v>
      </c>
      <c r="C47" s="31">
        <v>1814</v>
      </c>
      <c r="D47" s="31">
        <v>824</v>
      </c>
      <c r="E47" s="4">
        <v>45</v>
      </c>
      <c r="F47" s="32">
        <v>6</v>
      </c>
      <c r="G47" s="4">
        <v>2.2000000000000002</v>
      </c>
      <c r="H47" s="30" t="s">
        <v>20</v>
      </c>
      <c r="I47" s="30" t="s">
        <v>17</v>
      </c>
    </row>
    <row r="48" spans="1:9" ht="25.5" x14ac:dyDescent="0.25">
      <c r="A48" s="25" t="s">
        <v>29</v>
      </c>
      <c r="B48" s="27">
        <v>1000</v>
      </c>
      <c r="C48" s="27">
        <v>2000</v>
      </c>
      <c r="D48" s="27">
        <v>1000</v>
      </c>
      <c r="E48" s="2">
        <v>50</v>
      </c>
      <c r="F48" s="28">
        <v>7</v>
      </c>
      <c r="G48" s="2">
        <v>2.2999999999999998</v>
      </c>
      <c r="H48" s="25" t="s">
        <v>20</v>
      </c>
      <c r="I48" s="25" t="s">
        <v>17</v>
      </c>
    </row>
    <row r="49" spans="1:9" ht="25.5" x14ac:dyDescent="0.25">
      <c r="A49" s="30" t="s">
        <v>70</v>
      </c>
      <c r="B49" s="31">
        <v>3750</v>
      </c>
      <c r="C49" s="31">
        <v>6143</v>
      </c>
      <c r="D49" s="31">
        <v>2393</v>
      </c>
      <c r="E49" s="4">
        <v>39</v>
      </c>
      <c r="F49" s="32">
        <v>5</v>
      </c>
      <c r="G49" s="4">
        <v>3</v>
      </c>
      <c r="H49" s="30" t="s">
        <v>22</v>
      </c>
      <c r="I49" s="30" t="s">
        <v>34</v>
      </c>
    </row>
    <row r="50" spans="1:9" ht="25.5" x14ac:dyDescent="0.25">
      <c r="A50" s="25" t="s">
        <v>71</v>
      </c>
      <c r="B50" s="27">
        <v>382</v>
      </c>
      <c r="C50" s="27">
        <v>700</v>
      </c>
      <c r="D50" s="27">
        <v>318</v>
      </c>
      <c r="E50" s="2">
        <v>45</v>
      </c>
      <c r="F50" s="28">
        <v>17</v>
      </c>
      <c r="G50" s="2">
        <v>2.6</v>
      </c>
      <c r="H50" s="25" t="s">
        <v>20</v>
      </c>
      <c r="I50" s="25" t="s">
        <v>17</v>
      </c>
    </row>
    <row r="51" spans="1:9" ht="25.5" x14ac:dyDescent="0.25">
      <c r="A51" s="30" t="s">
        <v>72</v>
      </c>
      <c r="B51" s="31">
        <v>2300</v>
      </c>
      <c r="C51" s="31">
        <v>3240</v>
      </c>
      <c r="D51" s="31">
        <v>940</v>
      </c>
      <c r="E51" s="4">
        <v>29</v>
      </c>
      <c r="F51" s="32">
        <v>5</v>
      </c>
      <c r="G51" s="4">
        <v>3</v>
      </c>
      <c r="H51" s="30" t="s">
        <v>22</v>
      </c>
      <c r="I51" s="30" t="s">
        <v>34</v>
      </c>
    </row>
    <row r="52" spans="1:9" x14ac:dyDescent="0.25">
      <c r="A52" s="25" t="s">
        <v>73</v>
      </c>
      <c r="B52" s="27">
        <v>345</v>
      </c>
      <c r="C52" s="27">
        <v>602</v>
      </c>
      <c r="D52" s="27">
        <v>257</v>
      </c>
      <c r="E52" s="2">
        <v>43</v>
      </c>
      <c r="F52" s="28">
        <v>6</v>
      </c>
      <c r="G52" s="2">
        <v>2.2999999999999998</v>
      </c>
      <c r="H52" s="25" t="s">
        <v>20</v>
      </c>
      <c r="I52" s="25" t="s">
        <v>17</v>
      </c>
    </row>
    <row r="53" spans="1:9" ht="25.5" x14ac:dyDescent="0.25">
      <c r="A53" s="30" t="s">
        <v>74</v>
      </c>
      <c r="B53" s="31">
        <v>509</v>
      </c>
      <c r="C53" s="31">
        <v>899</v>
      </c>
      <c r="D53" s="31">
        <v>390</v>
      </c>
      <c r="E53" s="4">
        <v>43</v>
      </c>
      <c r="F53" s="32">
        <v>5</v>
      </c>
      <c r="G53" s="4">
        <v>3</v>
      </c>
      <c r="H53" s="30" t="s">
        <v>22</v>
      </c>
      <c r="I53" s="30" t="s">
        <v>17</v>
      </c>
    </row>
    <row r="54" spans="1:9" ht="25.5" x14ac:dyDescent="0.25">
      <c r="A54" s="25" t="s">
        <v>75</v>
      </c>
      <c r="B54" s="27">
        <v>968</v>
      </c>
      <c r="C54" s="27">
        <v>1814</v>
      </c>
      <c r="D54" s="27">
        <v>846</v>
      </c>
      <c r="E54" s="2">
        <v>47</v>
      </c>
      <c r="F54" s="28">
        <v>6</v>
      </c>
      <c r="G54" s="2">
        <v>2.2000000000000002</v>
      </c>
      <c r="H54" s="25" t="s">
        <v>20</v>
      </c>
      <c r="I54" s="25" t="s">
        <v>17</v>
      </c>
    </row>
    <row r="55" spans="1:9" ht="25.5" x14ac:dyDescent="0.25">
      <c r="A55" s="30" t="s">
        <v>76</v>
      </c>
      <c r="B55" s="31">
        <v>1570</v>
      </c>
      <c r="C55" s="31">
        <v>2988</v>
      </c>
      <c r="D55" s="31">
        <v>1418</v>
      </c>
      <c r="E55" s="4">
        <v>47</v>
      </c>
      <c r="F55" s="32">
        <v>7</v>
      </c>
      <c r="G55" s="4">
        <v>2.1</v>
      </c>
      <c r="H55" s="30" t="s">
        <v>20</v>
      </c>
      <c r="I55" s="30" t="s">
        <v>17</v>
      </c>
    </row>
    <row r="56" spans="1:9" ht="25.5" x14ac:dyDescent="0.25">
      <c r="A56" s="25" t="s">
        <v>77</v>
      </c>
      <c r="B56" s="27">
        <v>1189</v>
      </c>
      <c r="C56" s="27">
        <v>2199</v>
      </c>
      <c r="D56" s="27">
        <v>1010</v>
      </c>
      <c r="E56" s="2">
        <v>46</v>
      </c>
      <c r="F56" s="28">
        <v>1</v>
      </c>
      <c r="G56" s="2">
        <v>3</v>
      </c>
      <c r="H56" s="25" t="s">
        <v>22</v>
      </c>
      <c r="I56" s="25" t="s">
        <v>17</v>
      </c>
    </row>
    <row r="57" spans="1:9" ht="25.5" x14ac:dyDescent="0.25">
      <c r="A57" s="30" t="s">
        <v>78</v>
      </c>
      <c r="B57" s="31">
        <v>979</v>
      </c>
      <c r="C57" s="31">
        <v>1920</v>
      </c>
      <c r="D57" s="31">
        <v>941</v>
      </c>
      <c r="E57" s="4">
        <v>49</v>
      </c>
      <c r="F57" s="32">
        <v>1</v>
      </c>
      <c r="G57" s="4">
        <v>5</v>
      </c>
      <c r="H57" s="30" t="s">
        <v>18</v>
      </c>
      <c r="I57" s="30" t="s">
        <v>17</v>
      </c>
    </row>
    <row r="58" spans="1:9" x14ac:dyDescent="0.25">
      <c r="A58" s="25" t="s">
        <v>79</v>
      </c>
      <c r="B58" s="27">
        <v>330</v>
      </c>
      <c r="C58" s="27">
        <v>647</v>
      </c>
      <c r="D58" s="27">
        <v>317</v>
      </c>
      <c r="E58" s="2">
        <v>49</v>
      </c>
      <c r="F58" s="28">
        <v>1</v>
      </c>
      <c r="G58" s="2">
        <v>4</v>
      </c>
      <c r="H58" s="25" t="s">
        <v>22</v>
      </c>
      <c r="I58" s="25" t="s">
        <v>17</v>
      </c>
    </row>
    <row r="59" spans="1:9" ht="25.5" x14ac:dyDescent="0.25">
      <c r="A59" s="30" t="s">
        <v>80</v>
      </c>
      <c r="B59" s="31">
        <v>3640</v>
      </c>
      <c r="C59" s="31">
        <v>4588</v>
      </c>
      <c r="D59" s="31">
        <v>948</v>
      </c>
      <c r="E59" s="4">
        <v>21</v>
      </c>
      <c r="F59" s="32">
        <v>1</v>
      </c>
      <c r="G59" s="4">
        <v>5</v>
      </c>
      <c r="H59" s="30" t="s">
        <v>18</v>
      </c>
      <c r="I59" s="30" t="s">
        <v>34</v>
      </c>
    </row>
    <row r="60" spans="1:9" x14ac:dyDescent="0.25">
      <c r="A60" s="25" t="s">
        <v>81</v>
      </c>
      <c r="B60" s="27">
        <v>450</v>
      </c>
      <c r="C60" s="27">
        <v>900</v>
      </c>
      <c r="D60" s="27">
        <v>450</v>
      </c>
      <c r="E60" s="2">
        <v>50</v>
      </c>
      <c r="F60" s="28">
        <v>1</v>
      </c>
      <c r="G60" s="2">
        <v>2</v>
      </c>
      <c r="H60" s="25" t="s">
        <v>20</v>
      </c>
      <c r="I60" s="25" t="s">
        <v>17</v>
      </c>
    </row>
  </sheetData>
  <mergeCells count="1">
    <mergeCell ref="A1:I1"/>
  </mergeCells>
  <conditionalFormatting sqref="E4:E60">
    <cfRule type="colorScale" priority="3">
      <colorScale>
        <cfvo type="min"/>
        <cfvo type="max"/>
        <color rgb="FFFFFFFF"/>
        <color rgb="FFE07826"/>
      </colorScale>
    </cfRule>
  </conditionalFormatting>
  <conditionalFormatting sqref="G4:G60">
    <cfRule type="colorScale" priority="2">
      <colorScale>
        <cfvo type="num" val="3"/>
        <cfvo type="num" val="4"/>
        <cfvo type="num" val="5"/>
        <color rgb="FFE74C3C"/>
        <color rgb="FFF1C40F"/>
        <color rgb="FF27AE6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showGridLines="0" topLeftCell="A46" zoomScaleNormal="100" workbookViewId="0">
      <selection activeCell="B66" sqref="B66"/>
    </sheetView>
  </sheetViews>
  <sheetFormatPr defaultColWidth="8.7109375" defaultRowHeight="15" x14ac:dyDescent="0.25"/>
  <cols>
    <col min="1" max="1" width="45" customWidth="1"/>
    <col min="2" max="2" width="31.28515625" customWidth="1"/>
    <col min="3" max="3" width="30" customWidth="1"/>
    <col min="4" max="4" width="18" customWidth="1"/>
    <col min="5" max="5" width="21.42578125" bestFit="1" customWidth="1"/>
    <col min="6" max="7" width="18" customWidth="1"/>
    <col min="8" max="8" width="25.42578125" customWidth="1"/>
  </cols>
  <sheetData>
    <row r="1" spans="1:8" ht="30" customHeight="1" x14ac:dyDescent="0.25">
      <c r="A1" s="36" t="s">
        <v>107</v>
      </c>
      <c r="B1" s="37"/>
      <c r="C1" s="37"/>
      <c r="D1" s="37"/>
      <c r="E1" s="37"/>
      <c r="F1" s="37"/>
      <c r="G1" s="37"/>
      <c r="H1" s="37"/>
    </row>
    <row r="3" spans="1:8" ht="21.75" customHeight="1" x14ac:dyDescent="0.25">
      <c r="A3" s="39" t="s">
        <v>82</v>
      </c>
      <c r="B3" s="39"/>
      <c r="C3" s="39"/>
      <c r="D3" s="39"/>
      <c r="E3" s="39"/>
      <c r="F3" s="39"/>
      <c r="G3" s="39"/>
      <c r="H3" s="39"/>
    </row>
    <row r="4" spans="1:8" ht="30" x14ac:dyDescent="0.25">
      <c r="A4" s="38" t="s">
        <v>83</v>
      </c>
      <c r="B4" s="38" t="s">
        <v>84</v>
      </c>
      <c r="C4" s="38" t="s">
        <v>85</v>
      </c>
      <c r="D4" s="38" t="s">
        <v>86</v>
      </c>
      <c r="E4" s="38" t="s">
        <v>2</v>
      </c>
      <c r="F4" s="38" t="s">
        <v>1</v>
      </c>
      <c r="G4" s="38" t="s">
        <v>4</v>
      </c>
      <c r="H4" s="38" t="s">
        <v>87</v>
      </c>
    </row>
    <row r="5" spans="1:8" ht="19.5" customHeight="1" x14ac:dyDescent="0.25">
      <c r="A5" s="6" t="s">
        <v>88</v>
      </c>
      <c r="B5" s="7">
        <f>AVERAGE('Cleaned Data'!B4:B60)</f>
        <v>1303.3508771929824</v>
      </c>
      <c r="C5" s="7">
        <f>AVERAGE('Cleaned Data'!C4:C60)</f>
        <v>2054.5087719298244</v>
      </c>
      <c r="D5" s="8">
        <f>AVERAGE('Cleaned Data'!E4:E60)</f>
        <v>38.964912280701753</v>
      </c>
      <c r="E5" s="8">
        <f>AVERAGE('Cleaned Data'!G4:G60)</f>
        <v>3.8894736842105258</v>
      </c>
      <c r="F5" s="6">
        <f>COUNTA('Cleaned Data'!A4:A60)</f>
        <v>57</v>
      </c>
      <c r="G5" s="6">
        <f>SUM('Cleaned Data'!F4:F60)</f>
        <v>723</v>
      </c>
      <c r="H5" s="7">
        <f>MAX('Cleaned Data'!B4:B60)</f>
        <v>3750</v>
      </c>
    </row>
    <row r="8" spans="1:8" ht="21.75" customHeight="1" x14ac:dyDescent="0.25">
      <c r="A8" s="39" t="s">
        <v>89</v>
      </c>
      <c r="B8" s="39"/>
      <c r="C8" s="39"/>
      <c r="D8" s="39"/>
      <c r="E8" s="39"/>
      <c r="F8" s="39"/>
    </row>
    <row r="9" spans="1:8" ht="21.75" customHeight="1" x14ac:dyDescent="0.25">
      <c r="A9" s="38" t="s">
        <v>15</v>
      </c>
      <c r="B9" s="38" t="s">
        <v>90</v>
      </c>
      <c r="C9" s="38" t="s">
        <v>5</v>
      </c>
      <c r="D9" s="38" t="s">
        <v>86</v>
      </c>
      <c r="E9" s="38" t="s">
        <v>2</v>
      </c>
      <c r="F9" s="38" t="s">
        <v>4</v>
      </c>
    </row>
    <row r="10" spans="1:8" x14ac:dyDescent="0.25">
      <c r="A10" s="34" t="s">
        <v>22</v>
      </c>
      <c r="B10" s="34">
        <v>22</v>
      </c>
      <c r="C10" s="27">
        <v>1369.41</v>
      </c>
      <c r="D10" s="41">
        <v>38.049999999999997</v>
      </c>
      <c r="E10" s="41">
        <v>3.81</v>
      </c>
      <c r="F10" s="34">
        <v>223</v>
      </c>
    </row>
    <row r="11" spans="1:8" x14ac:dyDescent="0.25">
      <c r="A11" s="35" t="s">
        <v>18</v>
      </c>
      <c r="B11" s="35">
        <v>23</v>
      </c>
      <c r="C11" s="31">
        <v>1399.3</v>
      </c>
      <c r="D11" s="42">
        <v>37.65</v>
      </c>
      <c r="E11" s="42">
        <v>4.75</v>
      </c>
      <c r="F11" s="35">
        <v>331</v>
      </c>
    </row>
    <row r="12" spans="1:8" x14ac:dyDescent="0.25">
      <c r="A12" s="34" t="s">
        <v>20</v>
      </c>
      <c r="B12" s="34">
        <v>12</v>
      </c>
      <c r="C12" s="27">
        <v>998.33</v>
      </c>
      <c r="D12" s="41">
        <v>43.17</v>
      </c>
      <c r="E12" s="41">
        <v>2.39</v>
      </c>
      <c r="F12" s="34">
        <v>169</v>
      </c>
    </row>
    <row r="15" spans="1:8" ht="21.75" customHeight="1" x14ac:dyDescent="0.25">
      <c r="A15" s="39" t="s">
        <v>91</v>
      </c>
      <c r="B15" s="39"/>
      <c r="C15" s="39"/>
      <c r="D15" s="39"/>
      <c r="E15" s="39"/>
      <c r="F15" s="39"/>
    </row>
    <row r="16" spans="1:8" ht="21.75" customHeight="1" x14ac:dyDescent="0.25">
      <c r="A16" s="38" t="s">
        <v>14</v>
      </c>
      <c r="B16" s="38" t="s">
        <v>90</v>
      </c>
      <c r="C16" s="38" t="s">
        <v>5</v>
      </c>
      <c r="D16" s="38" t="s">
        <v>86</v>
      </c>
      <c r="E16" s="38" t="s">
        <v>3</v>
      </c>
      <c r="F16" s="38" t="s">
        <v>4</v>
      </c>
    </row>
    <row r="17" spans="1:6" x14ac:dyDescent="0.25">
      <c r="A17" s="35" t="s">
        <v>17</v>
      </c>
      <c r="B17" s="35">
        <v>30</v>
      </c>
      <c r="C17" s="31">
        <v>823.67</v>
      </c>
      <c r="D17" s="42">
        <v>48.53</v>
      </c>
      <c r="E17" s="42">
        <v>3.61</v>
      </c>
      <c r="F17" s="35">
        <v>334</v>
      </c>
    </row>
    <row r="18" spans="1:6" x14ac:dyDescent="0.25">
      <c r="A18" s="34" t="s">
        <v>40</v>
      </c>
      <c r="B18" s="34">
        <v>4</v>
      </c>
      <c r="C18" s="27">
        <v>2762</v>
      </c>
      <c r="D18" s="41">
        <v>14.75</v>
      </c>
      <c r="E18" s="41">
        <v>3.72</v>
      </c>
      <c r="F18" s="34">
        <v>38</v>
      </c>
    </row>
    <row r="19" spans="1:6" x14ac:dyDescent="0.25">
      <c r="A19" s="35" t="s">
        <v>34</v>
      </c>
      <c r="B19" s="35">
        <v>23</v>
      </c>
      <c r="C19" s="31">
        <v>1675.35</v>
      </c>
      <c r="D19" s="42">
        <v>30.7</v>
      </c>
      <c r="E19" s="42">
        <v>4.28</v>
      </c>
      <c r="F19" s="35">
        <v>351</v>
      </c>
    </row>
    <row r="22" spans="1:6" ht="21.75" customHeight="1" x14ac:dyDescent="0.25">
      <c r="A22" s="39" t="s">
        <v>92</v>
      </c>
      <c r="B22" s="39"/>
      <c r="C22" s="39"/>
      <c r="D22" s="39"/>
      <c r="E22" s="39"/>
    </row>
    <row r="23" spans="1:6" ht="21.75" customHeight="1" x14ac:dyDescent="0.25">
      <c r="A23" s="38" t="s">
        <v>8</v>
      </c>
      <c r="B23" s="38" t="s">
        <v>13</v>
      </c>
      <c r="C23" s="38" t="s">
        <v>12</v>
      </c>
      <c r="D23" s="38" t="s">
        <v>11</v>
      </c>
      <c r="E23" s="38" t="s">
        <v>9</v>
      </c>
    </row>
    <row r="24" spans="1:6" ht="25.5" x14ac:dyDescent="0.25">
      <c r="A24" s="25" t="s">
        <v>28</v>
      </c>
      <c r="B24" s="34">
        <v>5</v>
      </c>
      <c r="C24" s="34">
        <v>2</v>
      </c>
      <c r="D24" s="34">
        <v>51</v>
      </c>
      <c r="E24" s="27">
        <v>332</v>
      </c>
    </row>
    <row r="25" spans="1:6" ht="25.5" x14ac:dyDescent="0.25">
      <c r="A25" s="30" t="s">
        <v>49</v>
      </c>
      <c r="B25" s="35">
        <v>5</v>
      </c>
      <c r="C25" s="35">
        <v>2</v>
      </c>
      <c r="D25" s="35">
        <v>46</v>
      </c>
      <c r="E25" s="31">
        <v>195</v>
      </c>
    </row>
    <row r="26" spans="1:6" ht="25.5" x14ac:dyDescent="0.25">
      <c r="A26" s="25" t="s">
        <v>50</v>
      </c>
      <c r="B26" s="34">
        <v>5</v>
      </c>
      <c r="C26" s="34">
        <v>3</v>
      </c>
      <c r="D26" s="34">
        <v>49</v>
      </c>
      <c r="E26" s="27">
        <v>2025</v>
      </c>
    </row>
    <row r="27" spans="1:6" ht="25.5" x14ac:dyDescent="0.25">
      <c r="A27" s="30" t="s">
        <v>63</v>
      </c>
      <c r="B27" s="35">
        <v>5</v>
      </c>
      <c r="C27" s="35">
        <v>1</v>
      </c>
      <c r="D27" s="35">
        <v>40</v>
      </c>
      <c r="E27" s="31">
        <v>1620</v>
      </c>
    </row>
    <row r="28" spans="1:6" ht="25.5" x14ac:dyDescent="0.25">
      <c r="A28" s="25" t="s">
        <v>25</v>
      </c>
      <c r="B28" s="34">
        <v>5</v>
      </c>
      <c r="C28" s="34">
        <v>2</v>
      </c>
      <c r="D28" s="34">
        <v>53</v>
      </c>
      <c r="E28" s="27">
        <v>171</v>
      </c>
    </row>
    <row r="31" spans="1:6" ht="21.75" customHeight="1" x14ac:dyDescent="0.25">
      <c r="A31" s="39" t="s">
        <v>93</v>
      </c>
      <c r="B31" s="39"/>
      <c r="C31" s="39"/>
      <c r="D31" s="39"/>
      <c r="E31" s="39"/>
    </row>
    <row r="32" spans="1:6" ht="21.75" customHeight="1" x14ac:dyDescent="0.25">
      <c r="A32" s="40" t="s">
        <v>8</v>
      </c>
      <c r="B32" s="40" t="s">
        <v>13</v>
      </c>
      <c r="C32" s="40" t="s">
        <v>12</v>
      </c>
      <c r="D32" s="40" t="s">
        <v>11</v>
      </c>
      <c r="E32" s="40" t="s">
        <v>9</v>
      </c>
    </row>
    <row r="33" spans="1:6" x14ac:dyDescent="0.25">
      <c r="A33" s="30" t="s">
        <v>81</v>
      </c>
      <c r="B33" s="35">
        <v>2</v>
      </c>
      <c r="C33" s="35">
        <v>1</v>
      </c>
      <c r="D33" s="35">
        <v>50</v>
      </c>
      <c r="E33" s="31">
        <v>450</v>
      </c>
    </row>
    <row r="34" spans="1:6" ht="25.5" x14ac:dyDescent="0.25">
      <c r="A34" s="25" t="s">
        <v>19</v>
      </c>
      <c r="B34" s="34">
        <v>2.1</v>
      </c>
      <c r="C34" s="34">
        <v>13</v>
      </c>
      <c r="D34" s="34">
        <v>55</v>
      </c>
      <c r="E34" s="27">
        <v>2115</v>
      </c>
    </row>
    <row r="35" spans="1:6" ht="25.5" x14ac:dyDescent="0.25">
      <c r="A35" s="30" t="s">
        <v>76</v>
      </c>
      <c r="B35" s="35">
        <v>2.1</v>
      </c>
      <c r="C35" s="35">
        <v>7</v>
      </c>
      <c r="D35" s="35">
        <v>47</v>
      </c>
      <c r="E35" s="31">
        <v>1570</v>
      </c>
    </row>
    <row r="36" spans="1:6" ht="25.5" x14ac:dyDescent="0.25">
      <c r="A36" s="25" t="s">
        <v>69</v>
      </c>
      <c r="B36" s="34">
        <v>2.2000000000000002</v>
      </c>
      <c r="C36" s="34">
        <v>6</v>
      </c>
      <c r="D36" s="34">
        <v>45</v>
      </c>
      <c r="E36" s="27">
        <v>990</v>
      </c>
    </row>
    <row r="37" spans="1:6" ht="25.5" x14ac:dyDescent="0.25">
      <c r="A37" s="30" t="s">
        <v>75</v>
      </c>
      <c r="B37" s="35">
        <v>2.2000000000000002</v>
      </c>
      <c r="C37" s="35">
        <v>6</v>
      </c>
      <c r="D37" s="35">
        <v>47</v>
      </c>
      <c r="E37" s="31">
        <v>968</v>
      </c>
    </row>
    <row r="40" spans="1:6" ht="21.75" customHeight="1" x14ac:dyDescent="0.25">
      <c r="A40" s="39" t="s">
        <v>94</v>
      </c>
      <c r="B40" s="39"/>
      <c r="C40" s="39"/>
      <c r="D40" s="39"/>
      <c r="E40" s="39"/>
      <c r="F40" s="39"/>
    </row>
    <row r="41" spans="1:6" ht="21.75" customHeight="1" x14ac:dyDescent="0.25">
      <c r="A41" s="38" t="s">
        <v>8</v>
      </c>
      <c r="B41" s="38" t="s">
        <v>11</v>
      </c>
      <c r="C41" s="38" t="s">
        <v>9</v>
      </c>
      <c r="D41" s="38" t="s">
        <v>10</v>
      </c>
      <c r="E41" s="38" t="s">
        <v>13</v>
      </c>
      <c r="F41" s="38" t="s">
        <v>12</v>
      </c>
    </row>
    <row r="42" spans="1:6" x14ac:dyDescent="0.25">
      <c r="A42" s="25" t="s">
        <v>16</v>
      </c>
      <c r="B42" s="34">
        <v>55</v>
      </c>
      <c r="C42" s="27">
        <v>1274</v>
      </c>
      <c r="D42" s="27">
        <v>2800</v>
      </c>
      <c r="E42" s="34">
        <v>4.8</v>
      </c>
      <c r="F42" s="34">
        <v>5</v>
      </c>
    </row>
    <row r="43" spans="1:6" ht="25.5" x14ac:dyDescent="0.25">
      <c r="A43" s="30" t="s">
        <v>19</v>
      </c>
      <c r="B43" s="35">
        <v>55</v>
      </c>
      <c r="C43" s="31">
        <v>2115</v>
      </c>
      <c r="D43" s="31">
        <v>4700</v>
      </c>
      <c r="E43" s="35">
        <v>2.1</v>
      </c>
      <c r="F43" s="35">
        <v>13</v>
      </c>
    </row>
    <row r="44" spans="1:6" x14ac:dyDescent="0.25">
      <c r="A44" s="25" t="s">
        <v>21</v>
      </c>
      <c r="B44" s="34">
        <v>54</v>
      </c>
      <c r="C44" s="27">
        <v>2048</v>
      </c>
      <c r="D44" s="27">
        <v>4500</v>
      </c>
      <c r="E44" s="34">
        <v>4.3</v>
      </c>
      <c r="F44" s="34">
        <v>7</v>
      </c>
    </row>
    <row r="45" spans="1:6" ht="25.5" x14ac:dyDescent="0.25">
      <c r="A45" s="30" t="s">
        <v>23</v>
      </c>
      <c r="B45" s="35">
        <v>54</v>
      </c>
      <c r="C45" s="31">
        <v>458</v>
      </c>
      <c r="D45" s="31">
        <v>986</v>
      </c>
      <c r="E45" s="35">
        <v>3</v>
      </c>
      <c r="F45" s="35">
        <v>10</v>
      </c>
    </row>
    <row r="46" spans="1:6" ht="25.5" x14ac:dyDescent="0.25">
      <c r="A46" s="25" t="s">
        <v>24</v>
      </c>
      <c r="B46" s="34">
        <v>53</v>
      </c>
      <c r="C46" s="27">
        <v>38</v>
      </c>
      <c r="D46" s="27">
        <v>80</v>
      </c>
      <c r="E46" s="34">
        <v>3.3</v>
      </c>
      <c r="F46" s="34">
        <v>13</v>
      </c>
    </row>
    <row r="47" spans="1:6" ht="25.5" x14ac:dyDescent="0.25">
      <c r="A47" s="30" t="s">
        <v>25</v>
      </c>
      <c r="B47" s="35">
        <v>53</v>
      </c>
      <c r="C47" s="31">
        <v>171</v>
      </c>
      <c r="D47" s="31">
        <v>360</v>
      </c>
      <c r="E47" s="35">
        <v>5</v>
      </c>
      <c r="F47" s="35">
        <v>2</v>
      </c>
    </row>
    <row r="48" spans="1:6" x14ac:dyDescent="0.25">
      <c r="A48" s="25" t="s">
        <v>26</v>
      </c>
      <c r="B48" s="34">
        <v>52</v>
      </c>
      <c r="C48" s="27">
        <v>185</v>
      </c>
      <c r="D48" s="27">
        <v>382</v>
      </c>
      <c r="E48" s="34">
        <v>4.3</v>
      </c>
      <c r="F48" s="34">
        <v>9</v>
      </c>
    </row>
    <row r="49" spans="1:6" ht="25.5" x14ac:dyDescent="0.25">
      <c r="A49" s="30" t="s">
        <v>27</v>
      </c>
      <c r="B49" s="35">
        <v>52</v>
      </c>
      <c r="C49" s="31">
        <v>325</v>
      </c>
      <c r="D49" s="31">
        <v>680</v>
      </c>
      <c r="E49" s="35">
        <v>2.7</v>
      </c>
      <c r="F49" s="35">
        <v>15</v>
      </c>
    </row>
    <row r="50" spans="1:6" ht="25.5" x14ac:dyDescent="0.25">
      <c r="A50" s="25" t="s">
        <v>28</v>
      </c>
      <c r="B50" s="34">
        <v>51</v>
      </c>
      <c r="C50" s="27">
        <v>332</v>
      </c>
      <c r="D50" s="27">
        <v>684</v>
      </c>
      <c r="E50" s="34">
        <v>5</v>
      </c>
      <c r="F50" s="34">
        <v>2</v>
      </c>
    </row>
    <row r="51" spans="1:6" ht="25.5" x14ac:dyDescent="0.25">
      <c r="A51" s="30" t="s">
        <v>29</v>
      </c>
      <c r="B51" s="35">
        <v>50</v>
      </c>
      <c r="C51" s="31">
        <v>1000</v>
      </c>
      <c r="D51" s="31">
        <v>2000</v>
      </c>
      <c r="E51" s="35">
        <v>2.2999999999999998</v>
      </c>
      <c r="F51" s="35">
        <v>7</v>
      </c>
    </row>
    <row r="55" spans="1:6" ht="21.75" customHeight="1" x14ac:dyDescent="0.25">
      <c r="A55" s="39" t="s">
        <v>95</v>
      </c>
      <c r="B55" s="39"/>
      <c r="C55" s="39"/>
      <c r="D55" s="39"/>
      <c r="E55" s="39"/>
    </row>
    <row r="56" spans="1:6" ht="21.75" customHeight="1" x14ac:dyDescent="0.25">
      <c r="A56" s="38" t="s">
        <v>8</v>
      </c>
      <c r="B56" s="38" t="s">
        <v>12</v>
      </c>
      <c r="C56" s="38" t="s">
        <v>13</v>
      </c>
      <c r="D56" s="38" t="s">
        <v>11</v>
      </c>
      <c r="E56" s="38" t="s">
        <v>9</v>
      </c>
    </row>
    <row r="57" spans="1:6" ht="25.5" x14ac:dyDescent="0.25">
      <c r="A57" s="30" t="s">
        <v>67</v>
      </c>
      <c r="B57" s="35">
        <v>69</v>
      </c>
      <c r="C57" s="35">
        <v>2.8</v>
      </c>
      <c r="D57" s="35">
        <v>49</v>
      </c>
      <c r="E57" s="31">
        <v>445</v>
      </c>
    </row>
    <row r="58" spans="1:6" ht="25.5" x14ac:dyDescent="0.25">
      <c r="A58" s="25" t="s">
        <v>41</v>
      </c>
      <c r="B58" s="34">
        <v>55</v>
      </c>
      <c r="C58" s="34">
        <v>4.5999999999999996</v>
      </c>
      <c r="D58" s="34">
        <v>24</v>
      </c>
      <c r="E58" s="27">
        <v>2319</v>
      </c>
    </row>
    <row r="59" spans="1:6" x14ac:dyDescent="0.25">
      <c r="A59" s="30" t="s">
        <v>55</v>
      </c>
      <c r="B59" s="35">
        <v>49</v>
      </c>
      <c r="C59" s="35">
        <v>4.5999999999999996</v>
      </c>
      <c r="D59" s="35">
        <v>35</v>
      </c>
      <c r="E59" s="31">
        <v>420</v>
      </c>
    </row>
    <row r="60" spans="1:6" ht="25.5" x14ac:dyDescent="0.25">
      <c r="A60" s="25" t="s">
        <v>52</v>
      </c>
      <c r="B60" s="34">
        <v>44</v>
      </c>
      <c r="C60" s="34">
        <v>4.5999999999999996</v>
      </c>
      <c r="D60" s="34">
        <v>49</v>
      </c>
      <c r="E60" s="27">
        <v>998</v>
      </c>
    </row>
    <row r="61" spans="1:6" ht="25.5" x14ac:dyDescent="0.25">
      <c r="A61" s="30" t="s">
        <v>45</v>
      </c>
      <c r="B61" s="35">
        <v>39</v>
      </c>
      <c r="C61" s="35">
        <v>4.7</v>
      </c>
      <c r="D61" s="35">
        <v>34</v>
      </c>
      <c r="E61" s="31">
        <v>990</v>
      </c>
    </row>
    <row r="62" spans="1:6" ht="25.5" x14ac:dyDescent="0.25">
      <c r="A62" s="25" t="s">
        <v>64</v>
      </c>
      <c r="B62" s="34">
        <v>36</v>
      </c>
      <c r="C62" s="34">
        <v>4.3</v>
      </c>
      <c r="D62" s="34">
        <v>41</v>
      </c>
      <c r="E62" s="27">
        <v>389</v>
      </c>
    </row>
    <row r="63" spans="1:6" ht="25.5" x14ac:dyDescent="0.25">
      <c r="A63" s="30" t="s">
        <v>62</v>
      </c>
      <c r="B63" s="35">
        <v>32</v>
      </c>
      <c r="C63" s="35">
        <v>4.5</v>
      </c>
      <c r="D63" s="35">
        <v>27</v>
      </c>
      <c r="E63" s="31">
        <v>1980</v>
      </c>
    </row>
    <row r="64" spans="1:6" x14ac:dyDescent="0.25">
      <c r="A64" s="25" t="s">
        <v>36</v>
      </c>
      <c r="B64" s="34">
        <v>24</v>
      </c>
      <c r="C64" s="34">
        <v>4.5999999999999996</v>
      </c>
      <c r="D64" s="34">
        <v>25</v>
      </c>
      <c r="E64" s="27">
        <v>2199</v>
      </c>
    </row>
    <row r="65" spans="1:5" ht="25.5" x14ac:dyDescent="0.25">
      <c r="A65" s="30" t="s">
        <v>58</v>
      </c>
      <c r="B65" s="35">
        <v>20</v>
      </c>
      <c r="C65" s="35">
        <v>4.0999999999999996</v>
      </c>
      <c r="D65" s="35">
        <v>30</v>
      </c>
      <c r="E65" s="31">
        <v>1758</v>
      </c>
    </row>
    <row r="66" spans="1:5" ht="25.5" x14ac:dyDescent="0.25">
      <c r="A66" s="25" t="s">
        <v>61</v>
      </c>
      <c r="B66" s="34">
        <v>20</v>
      </c>
      <c r="C66" s="34">
        <v>4.7</v>
      </c>
      <c r="D66" s="34">
        <v>27</v>
      </c>
      <c r="E66" s="27">
        <v>1940</v>
      </c>
    </row>
  </sheetData>
  <mergeCells count="8">
    <mergeCell ref="A31:E31"/>
    <mergeCell ref="A40:F40"/>
    <mergeCell ref="A55:E55"/>
    <mergeCell ref="A1:H1"/>
    <mergeCell ref="A3:H3"/>
    <mergeCell ref="A8:F8"/>
    <mergeCell ref="A15:F15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showGridLines="0" tabSelected="1" zoomScaleNormal="100" workbookViewId="0">
      <selection activeCell="L14" sqref="L14"/>
    </sheetView>
  </sheetViews>
  <sheetFormatPr defaultColWidth="8.7109375" defaultRowHeight="15" x14ac:dyDescent="0.25"/>
  <cols>
    <col min="1" max="1" width="40" customWidth="1"/>
    <col min="2" max="2" width="18" customWidth="1"/>
    <col min="3" max="4" width="14" customWidth="1"/>
    <col min="5" max="5" width="5" customWidth="1"/>
    <col min="6" max="6" width="40" customWidth="1"/>
    <col min="7" max="7" width="16" customWidth="1"/>
    <col min="8" max="8" width="12" customWidth="1"/>
    <col min="9" max="9" width="14" customWidth="1"/>
  </cols>
  <sheetData>
    <row r="1" spans="1:10" ht="30" customHeight="1" x14ac:dyDescent="0.25">
      <c r="A1" s="36" t="s">
        <v>108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ht="15" customHeight="1" x14ac:dyDescent="0.25">
      <c r="A3" s="39" t="s">
        <v>96</v>
      </c>
      <c r="B3" s="39"/>
      <c r="C3" s="39"/>
      <c r="F3" s="39" t="s">
        <v>97</v>
      </c>
      <c r="G3" s="39"/>
      <c r="H3" s="39"/>
    </row>
    <row r="4" spans="1:10" ht="21.75" customHeight="1" x14ac:dyDescent="0.25">
      <c r="A4" s="38" t="s">
        <v>98</v>
      </c>
      <c r="B4" s="38" t="s">
        <v>99</v>
      </c>
      <c r="C4" s="38" t="s">
        <v>2</v>
      </c>
      <c r="F4" s="38" t="s">
        <v>8</v>
      </c>
      <c r="G4" s="38" t="s">
        <v>11</v>
      </c>
      <c r="H4" s="38" t="s">
        <v>13</v>
      </c>
    </row>
    <row r="5" spans="1:10" ht="27.75" customHeight="1" x14ac:dyDescent="0.25">
      <c r="A5" s="35" t="s">
        <v>22</v>
      </c>
      <c r="B5" s="35">
        <v>22</v>
      </c>
      <c r="C5" s="35">
        <v>3.81</v>
      </c>
      <c r="F5" s="35" t="s">
        <v>16</v>
      </c>
      <c r="G5" s="35">
        <v>55</v>
      </c>
      <c r="H5" s="35">
        <v>4.8</v>
      </c>
    </row>
    <row r="6" spans="1:10" ht="27.75" customHeight="1" x14ac:dyDescent="0.25">
      <c r="A6" s="34" t="s">
        <v>18</v>
      </c>
      <c r="B6" s="34">
        <v>23</v>
      </c>
      <c r="C6" s="34">
        <v>4.75</v>
      </c>
      <c r="F6" s="34" t="s">
        <v>19</v>
      </c>
      <c r="G6" s="34">
        <v>55</v>
      </c>
      <c r="H6" s="34">
        <v>2.1</v>
      </c>
    </row>
    <row r="7" spans="1:10" ht="27.75" customHeight="1" x14ac:dyDescent="0.25">
      <c r="A7" s="35" t="s">
        <v>20</v>
      </c>
      <c r="B7" s="35">
        <v>12</v>
      </c>
      <c r="C7" s="35">
        <v>2.39</v>
      </c>
      <c r="F7" s="35" t="s">
        <v>21</v>
      </c>
      <c r="G7" s="35">
        <v>54</v>
      </c>
      <c r="H7" s="35">
        <v>4.3</v>
      </c>
    </row>
    <row r="8" spans="1:10" ht="27.75" customHeight="1" x14ac:dyDescent="0.25">
      <c r="F8" s="34" t="s">
        <v>23</v>
      </c>
      <c r="G8" s="34">
        <v>54</v>
      </c>
      <c r="H8" s="34">
        <v>3</v>
      </c>
    </row>
    <row r="9" spans="1:10" ht="27.75" customHeight="1" x14ac:dyDescent="0.25">
      <c r="F9" s="35" t="s">
        <v>24</v>
      </c>
      <c r="G9" s="35">
        <v>53</v>
      </c>
      <c r="H9" s="35">
        <v>3.3</v>
      </c>
    </row>
    <row r="10" spans="1:10" ht="27.75" customHeight="1" x14ac:dyDescent="0.25">
      <c r="A10" s="39" t="s">
        <v>100</v>
      </c>
      <c r="B10" s="39"/>
      <c r="C10" s="39"/>
      <c r="D10" s="39"/>
      <c r="F10" s="34" t="s">
        <v>25</v>
      </c>
      <c r="G10" s="34">
        <v>53</v>
      </c>
      <c r="H10" s="34">
        <v>5</v>
      </c>
    </row>
    <row r="11" spans="1:10" ht="27.75" customHeight="1" x14ac:dyDescent="0.25">
      <c r="A11" s="38" t="s">
        <v>14</v>
      </c>
      <c r="B11" s="38" t="s">
        <v>99</v>
      </c>
      <c r="C11" s="38" t="s">
        <v>2</v>
      </c>
      <c r="D11" s="38" t="s">
        <v>101</v>
      </c>
      <c r="F11" s="35" t="s">
        <v>26</v>
      </c>
      <c r="G11" s="35">
        <v>52</v>
      </c>
      <c r="H11" s="35">
        <v>4.3</v>
      </c>
    </row>
    <row r="12" spans="1:10" ht="27.75" customHeight="1" x14ac:dyDescent="0.25">
      <c r="A12" s="34" t="s">
        <v>17</v>
      </c>
      <c r="B12" s="34">
        <v>30</v>
      </c>
      <c r="C12" s="34">
        <v>3.61</v>
      </c>
      <c r="D12" s="34">
        <v>11.13</v>
      </c>
      <c r="F12" s="34" t="s">
        <v>27</v>
      </c>
      <c r="G12" s="34">
        <v>52</v>
      </c>
      <c r="H12" s="34">
        <v>2.7</v>
      </c>
    </row>
    <row r="13" spans="1:10" ht="27.75" customHeight="1" x14ac:dyDescent="0.25">
      <c r="A13" s="35" t="s">
        <v>40</v>
      </c>
      <c r="B13" s="35">
        <v>4</v>
      </c>
      <c r="C13" s="35">
        <v>3.72</v>
      </c>
      <c r="D13" s="35">
        <v>9.5</v>
      </c>
      <c r="F13" s="35" t="s">
        <v>28</v>
      </c>
      <c r="G13" s="35">
        <v>51</v>
      </c>
      <c r="H13" s="35">
        <v>5</v>
      </c>
    </row>
    <row r="14" spans="1:10" ht="27.75" customHeight="1" x14ac:dyDescent="0.25">
      <c r="A14" s="34" t="s">
        <v>34</v>
      </c>
      <c r="B14" s="34">
        <v>23</v>
      </c>
      <c r="C14" s="34">
        <v>4.28</v>
      </c>
      <c r="D14" s="34">
        <v>15.26</v>
      </c>
      <c r="F14" s="34" t="s">
        <v>29</v>
      </c>
      <c r="G14" s="34">
        <v>50</v>
      </c>
      <c r="H14" s="34">
        <v>2.2999999999999998</v>
      </c>
    </row>
    <row r="16" spans="1:10" ht="15" customHeight="1" x14ac:dyDescent="0.25">
      <c r="F16" s="39" t="s">
        <v>102</v>
      </c>
      <c r="G16" s="39"/>
      <c r="H16" s="39"/>
      <c r="I16" s="39"/>
    </row>
    <row r="17" spans="1:9" ht="21.75" customHeight="1" x14ac:dyDescent="0.25">
      <c r="F17" s="38" t="s">
        <v>8</v>
      </c>
      <c r="G17" s="38" t="s">
        <v>12</v>
      </c>
      <c r="H17" s="38" t="s">
        <v>13</v>
      </c>
      <c r="I17" s="38" t="s">
        <v>11</v>
      </c>
    </row>
    <row r="18" spans="1:9" ht="23.85" customHeight="1" x14ac:dyDescent="0.25">
      <c r="A18" s="39" t="s">
        <v>103</v>
      </c>
      <c r="B18" s="39"/>
      <c r="C18" s="39"/>
      <c r="F18" s="34" t="s">
        <v>67</v>
      </c>
      <c r="G18" s="34">
        <v>69</v>
      </c>
      <c r="H18" s="34">
        <v>2.8</v>
      </c>
      <c r="I18" s="34">
        <v>49</v>
      </c>
    </row>
    <row r="19" spans="1:9" ht="21.75" customHeight="1" x14ac:dyDescent="0.25">
      <c r="A19" s="38" t="s">
        <v>8</v>
      </c>
      <c r="B19" s="38" t="s">
        <v>11</v>
      </c>
      <c r="C19" s="38" t="s">
        <v>12</v>
      </c>
      <c r="F19" s="35" t="s">
        <v>41</v>
      </c>
      <c r="G19" s="35">
        <v>55</v>
      </c>
      <c r="H19" s="35">
        <v>4.5999999999999996</v>
      </c>
      <c r="I19" s="35">
        <v>24</v>
      </c>
    </row>
    <row r="20" spans="1:9" ht="25.5" x14ac:dyDescent="0.25">
      <c r="A20" s="34" t="s">
        <v>33</v>
      </c>
      <c r="B20" s="34">
        <v>38</v>
      </c>
      <c r="C20" s="34">
        <v>2</v>
      </c>
      <c r="F20" s="34" t="s">
        <v>55</v>
      </c>
      <c r="G20" s="34">
        <v>49</v>
      </c>
      <c r="H20" s="34">
        <v>4.5999999999999996</v>
      </c>
      <c r="I20" s="34">
        <v>35</v>
      </c>
    </row>
    <row r="21" spans="1:9" ht="25.5" x14ac:dyDescent="0.25">
      <c r="A21" s="35" t="s">
        <v>35</v>
      </c>
      <c r="B21" s="35">
        <v>47</v>
      </c>
      <c r="C21" s="35">
        <v>14</v>
      </c>
      <c r="F21" s="35" t="s">
        <v>52</v>
      </c>
      <c r="G21" s="35">
        <v>44</v>
      </c>
      <c r="H21" s="35">
        <v>4.5999999999999996</v>
      </c>
      <c r="I21" s="35">
        <v>49</v>
      </c>
    </row>
    <row r="22" spans="1:9" ht="25.5" x14ac:dyDescent="0.25">
      <c r="A22" s="34" t="s">
        <v>36</v>
      </c>
      <c r="B22" s="34">
        <v>25</v>
      </c>
      <c r="C22" s="34">
        <v>24</v>
      </c>
      <c r="F22" s="34" t="s">
        <v>45</v>
      </c>
      <c r="G22" s="34">
        <v>39</v>
      </c>
      <c r="H22" s="34">
        <v>4.7</v>
      </c>
      <c r="I22" s="34">
        <v>34</v>
      </c>
    </row>
    <row r="23" spans="1:9" ht="25.5" x14ac:dyDescent="0.25">
      <c r="A23" s="35" t="s">
        <v>37</v>
      </c>
      <c r="B23" s="35">
        <v>37</v>
      </c>
      <c r="C23" s="35">
        <v>7</v>
      </c>
      <c r="F23" s="35" t="s">
        <v>64</v>
      </c>
      <c r="G23" s="35">
        <v>36</v>
      </c>
      <c r="H23" s="35">
        <v>4.3</v>
      </c>
      <c r="I23" s="35">
        <v>41</v>
      </c>
    </row>
    <row r="24" spans="1:9" ht="25.5" x14ac:dyDescent="0.25">
      <c r="A24" s="34" t="s">
        <v>38</v>
      </c>
      <c r="B24" s="34">
        <v>26</v>
      </c>
      <c r="C24" s="34">
        <v>5</v>
      </c>
      <c r="F24" s="34" t="s">
        <v>62</v>
      </c>
      <c r="G24" s="34">
        <v>32</v>
      </c>
      <c r="H24" s="34">
        <v>4.5</v>
      </c>
      <c r="I24" s="34">
        <v>27</v>
      </c>
    </row>
    <row r="25" spans="1:9" ht="25.5" x14ac:dyDescent="0.25">
      <c r="A25" s="35" t="s">
        <v>39</v>
      </c>
      <c r="B25" s="35">
        <v>9</v>
      </c>
      <c r="C25" s="35">
        <v>15</v>
      </c>
      <c r="F25" s="35" t="s">
        <v>36</v>
      </c>
      <c r="G25" s="35">
        <v>24</v>
      </c>
      <c r="H25" s="35">
        <v>4.5999999999999996</v>
      </c>
      <c r="I25" s="35">
        <v>25</v>
      </c>
    </row>
    <row r="26" spans="1:9" ht="25.5" x14ac:dyDescent="0.25">
      <c r="A26" s="34" t="s">
        <v>41</v>
      </c>
      <c r="B26" s="34">
        <v>24</v>
      </c>
      <c r="C26" s="34">
        <v>55</v>
      </c>
      <c r="F26" s="34" t="s">
        <v>58</v>
      </c>
      <c r="G26" s="34">
        <v>20</v>
      </c>
      <c r="H26" s="34">
        <v>4.0999999999999996</v>
      </c>
      <c r="I26" s="34">
        <v>30</v>
      </c>
    </row>
    <row r="27" spans="1:9" ht="25.5" x14ac:dyDescent="0.25">
      <c r="A27" s="35" t="s">
        <v>42</v>
      </c>
      <c r="B27" s="35">
        <v>37</v>
      </c>
      <c r="C27" s="35">
        <v>2</v>
      </c>
      <c r="F27" s="35" t="s">
        <v>61</v>
      </c>
      <c r="G27" s="35">
        <v>20</v>
      </c>
      <c r="H27" s="35">
        <v>4.7</v>
      </c>
      <c r="I27" s="35">
        <v>27</v>
      </c>
    </row>
    <row r="28" spans="1:9" x14ac:dyDescent="0.25">
      <c r="A28" s="34" t="s">
        <v>16</v>
      </c>
      <c r="B28" s="34">
        <v>55</v>
      </c>
      <c r="C28" s="34">
        <v>5</v>
      </c>
    </row>
    <row r="29" spans="1:9" x14ac:dyDescent="0.25">
      <c r="A29" s="35" t="s">
        <v>43</v>
      </c>
      <c r="B29" s="35">
        <v>45</v>
      </c>
      <c r="C29" s="35">
        <v>5</v>
      </c>
    </row>
    <row r="30" spans="1:9" ht="25.5" x14ac:dyDescent="0.25">
      <c r="A30" s="34" t="s">
        <v>44</v>
      </c>
      <c r="B30" s="34">
        <v>20</v>
      </c>
      <c r="C30" s="34">
        <v>12</v>
      </c>
    </row>
    <row r="31" spans="1:9" ht="25.5" x14ac:dyDescent="0.25">
      <c r="A31" s="35" t="s">
        <v>45</v>
      </c>
      <c r="B31" s="35">
        <v>34</v>
      </c>
      <c r="C31" s="35">
        <v>39</v>
      </c>
    </row>
    <row r="32" spans="1:9" x14ac:dyDescent="0.25">
      <c r="A32" s="34" t="s">
        <v>46</v>
      </c>
      <c r="B32" s="34">
        <v>47</v>
      </c>
      <c r="C32" s="34">
        <v>12</v>
      </c>
    </row>
    <row r="33" spans="1:3" x14ac:dyDescent="0.25">
      <c r="A33" s="35" t="s">
        <v>47</v>
      </c>
      <c r="B33" s="35">
        <v>42</v>
      </c>
      <c r="C33" s="35">
        <v>6</v>
      </c>
    </row>
    <row r="34" spans="1:3" ht="25.5" x14ac:dyDescent="0.25">
      <c r="A34" s="34" t="s">
        <v>48</v>
      </c>
      <c r="B34" s="34">
        <v>33</v>
      </c>
      <c r="C34" s="34">
        <v>9</v>
      </c>
    </row>
    <row r="35" spans="1:3" ht="25.5" x14ac:dyDescent="0.25">
      <c r="A35" s="35" t="s">
        <v>28</v>
      </c>
      <c r="B35" s="35">
        <v>51</v>
      </c>
      <c r="C35" s="35">
        <v>2</v>
      </c>
    </row>
    <row r="36" spans="1:3" ht="25.5" x14ac:dyDescent="0.25">
      <c r="A36" s="34" t="s">
        <v>49</v>
      </c>
      <c r="B36" s="34">
        <v>46</v>
      </c>
      <c r="C36" s="34">
        <v>2</v>
      </c>
    </row>
    <row r="37" spans="1:3" ht="25.5" x14ac:dyDescent="0.25">
      <c r="A37" s="35" t="s">
        <v>50</v>
      </c>
      <c r="B37" s="35">
        <v>49</v>
      </c>
      <c r="C37" s="35">
        <v>3</v>
      </c>
    </row>
    <row r="38" spans="1:3" ht="25.5" x14ac:dyDescent="0.25">
      <c r="A38" s="34" t="s">
        <v>51</v>
      </c>
      <c r="B38" s="34">
        <v>19</v>
      </c>
      <c r="C38" s="34">
        <v>5</v>
      </c>
    </row>
    <row r="39" spans="1:3" ht="25.5" x14ac:dyDescent="0.25">
      <c r="A39" s="35" t="s">
        <v>52</v>
      </c>
      <c r="B39" s="35">
        <v>49</v>
      </c>
      <c r="C39" s="35">
        <v>44</v>
      </c>
    </row>
    <row r="40" spans="1:3" ht="25.5" x14ac:dyDescent="0.25">
      <c r="A40" s="34" t="s">
        <v>24</v>
      </c>
      <c r="B40" s="34">
        <v>53</v>
      </c>
      <c r="C40" s="34">
        <v>13</v>
      </c>
    </row>
    <row r="41" spans="1:3" ht="25.5" x14ac:dyDescent="0.25">
      <c r="A41" s="35" t="s">
        <v>53</v>
      </c>
      <c r="B41" s="35">
        <v>35</v>
      </c>
      <c r="C41" s="35">
        <v>6</v>
      </c>
    </row>
    <row r="42" spans="1:3" x14ac:dyDescent="0.25">
      <c r="A42" s="34" t="s">
        <v>54</v>
      </c>
      <c r="B42" s="34">
        <v>23</v>
      </c>
      <c r="C42" s="34">
        <v>14</v>
      </c>
    </row>
    <row r="43" spans="1:3" ht="25.5" x14ac:dyDescent="0.25">
      <c r="A43" s="35" t="s">
        <v>21</v>
      </c>
      <c r="B43" s="35">
        <v>54</v>
      </c>
      <c r="C43" s="35">
        <v>7</v>
      </c>
    </row>
    <row r="44" spans="1:3" x14ac:dyDescent="0.25">
      <c r="A44" s="34" t="s">
        <v>55</v>
      </c>
      <c r="B44" s="34">
        <v>35</v>
      </c>
      <c r="C44" s="34">
        <v>49</v>
      </c>
    </row>
    <row r="45" spans="1:3" ht="25.5" x14ac:dyDescent="0.25">
      <c r="A45" s="35" t="s">
        <v>56</v>
      </c>
      <c r="B45" s="35">
        <v>18</v>
      </c>
      <c r="C45" s="35">
        <v>12</v>
      </c>
    </row>
    <row r="46" spans="1:3" x14ac:dyDescent="0.25">
      <c r="A46" s="34" t="s">
        <v>57</v>
      </c>
      <c r="B46" s="34">
        <v>32</v>
      </c>
      <c r="C46" s="34">
        <v>13</v>
      </c>
    </row>
    <row r="47" spans="1:3" ht="25.5" x14ac:dyDescent="0.25">
      <c r="A47" s="35" t="s">
        <v>58</v>
      </c>
      <c r="B47" s="35">
        <v>30</v>
      </c>
      <c r="C47" s="35">
        <v>20</v>
      </c>
    </row>
    <row r="48" spans="1:3" x14ac:dyDescent="0.25">
      <c r="A48" s="34" t="s">
        <v>26</v>
      </c>
      <c r="B48" s="34">
        <v>52</v>
      </c>
      <c r="C48" s="34">
        <v>9</v>
      </c>
    </row>
    <row r="49" spans="1:3" x14ac:dyDescent="0.25">
      <c r="A49" s="35" t="s">
        <v>59</v>
      </c>
      <c r="B49" s="35">
        <v>34</v>
      </c>
      <c r="C49" s="35">
        <v>12</v>
      </c>
    </row>
    <row r="50" spans="1:3" ht="25.5" x14ac:dyDescent="0.25">
      <c r="A50" s="34" t="s">
        <v>60</v>
      </c>
      <c r="B50" s="34">
        <v>48</v>
      </c>
      <c r="C50" s="34">
        <v>9</v>
      </c>
    </row>
    <row r="51" spans="1:3" ht="25.5" x14ac:dyDescent="0.25">
      <c r="A51" s="35" t="s">
        <v>61</v>
      </c>
      <c r="B51" s="35">
        <v>27</v>
      </c>
      <c r="C51" s="35">
        <v>20</v>
      </c>
    </row>
    <row r="52" spans="1:3" ht="25.5" x14ac:dyDescent="0.25">
      <c r="A52" s="34" t="s">
        <v>62</v>
      </c>
      <c r="B52" s="34">
        <v>27</v>
      </c>
      <c r="C52" s="34">
        <v>32</v>
      </c>
    </row>
    <row r="53" spans="1:3" ht="25.5" x14ac:dyDescent="0.25">
      <c r="A53" s="35" t="s">
        <v>63</v>
      </c>
      <c r="B53" s="35">
        <v>40</v>
      </c>
      <c r="C53" s="35">
        <v>1</v>
      </c>
    </row>
    <row r="54" spans="1:3" ht="25.5" x14ac:dyDescent="0.25">
      <c r="A54" s="34" t="s">
        <v>25</v>
      </c>
      <c r="B54" s="34">
        <v>53</v>
      </c>
      <c r="C54" s="34">
        <v>2</v>
      </c>
    </row>
    <row r="55" spans="1:3" ht="25.5" x14ac:dyDescent="0.25">
      <c r="A55" s="35" t="s">
        <v>64</v>
      </c>
      <c r="B55" s="35">
        <v>41</v>
      </c>
      <c r="C55" s="35">
        <v>36</v>
      </c>
    </row>
    <row r="56" spans="1:3" ht="25.5" x14ac:dyDescent="0.25">
      <c r="A56" s="34" t="s">
        <v>65</v>
      </c>
      <c r="B56" s="34">
        <v>38</v>
      </c>
      <c r="C56" s="34">
        <v>2</v>
      </c>
    </row>
    <row r="57" spans="1:3" ht="25.5" x14ac:dyDescent="0.25">
      <c r="A57" s="35" t="s">
        <v>66</v>
      </c>
      <c r="B57" s="35">
        <v>13</v>
      </c>
      <c r="C57" s="35">
        <v>6</v>
      </c>
    </row>
    <row r="58" spans="1:3" ht="25.5" x14ac:dyDescent="0.25">
      <c r="A58" s="34" t="s">
        <v>23</v>
      </c>
      <c r="B58" s="34">
        <v>54</v>
      </c>
      <c r="C58" s="34">
        <v>10</v>
      </c>
    </row>
    <row r="59" spans="1:3" ht="25.5" x14ac:dyDescent="0.25">
      <c r="A59" s="35" t="s">
        <v>19</v>
      </c>
      <c r="B59" s="35">
        <v>55</v>
      </c>
      <c r="C59" s="35">
        <v>13</v>
      </c>
    </row>
    <row r="60" spans="1:3" ht="25.5" x14ac:dyDescent="0.25">
      <c r="A60" s="34" t="s">
        <v>67</v>
      </c>
      <c r="B60" s="34">
        <v>49</v>
      </c>
      <c r="C60" s="34">
        <v>69</v>
      </c>
    </row>
    <row r="61" spans="1:3" ht="25.5" x14ac:dyDescent="0.25">
      <c r="A61" s="35" t="s">
        <v>27</v>
      </c>
      <c r="B61" s="35">
        <v>52</v>
      </c>
      <c r="C61" s="35">
        <v>15</v>
      </c>
    </row>
    <row r="62" spans="1:3" ht="25.5" x14ac:dyDescent="0.25">
      <c r="A62" s="34" t="s">
        <v>68</v>
      </c>
      <c r="B62" s="34">
        <v>22</v>
      </c>
      <c r="C62" s="34">
        <v>16</v>
      </c>
    </row>
    <row r="63" spans="1:3" ht="25.5" x14ac:dyDescent="0.25">
      <c r="A63" s="35" t="s">
        <v>69</v>
      </c>
      <c r="B63" s="35">
        <v>45</v>
      </c>
      <c r="C63" s="35">
        <v>6</v>
      </c>
    </row>
    <row r="64" spans="1:3" ht="25.5" x14ac:dyDescent="0.25">
      <c r="A64" s="34" t="s">
        <v>29</v>
      </c>
      <c r="B64" s="34">
        <v>50</v>
      </c>
      <c r="C64" s="34">
        <v>7</v>
      </c>
    </row>
    <row r="65" spans="1:3" ht="25.5" x14ac:dyDescent="0.25">
      <c r="A65" s="35" t="s">
        <v>70</v>
      </c>
      <c r="B65" s="35">
        <v>39</v>
      </c>
      <c r="C65" s="35">
        <v>5</v>
      </c>
    </row>
    <row r="66" spans="1:3" ht="25.5" x14ac:dyDescent="0.25">
      <c r="A66" s="34" t="s">
        <v>71</v>
      </c>
      <c r="B66" s="34">
        <v>45</v>
      </c>
      <c r="C66" s="34">
        <v>17</v>
      </c>
    </row>
    <row r="67" spans="1:3" ht="25.5" x14ac:dyDescent="0.25">
      <c r="A67" s="35" t="s">
        <v>72</v>
      </c>
      <c r="B67" s="35">
        <v>29</v>
      </c>
      <c r="C67" s="35">
        <v>5</v>
      </c>
    </row>
    <row r="68" spans="1:3" ht="25.5" x14ac:dyDescent="0.25">
      <c r="A68" s="34" t="s">
        <v>73</v>
      </c>
      <c r="B68" s="34">
        <v>43</v>
      </c>
      <c r="C68" s="34">
        <v>6</v>
      </c>
    </row>
    <row r="69" spans="1:3" ht="25.5" x14ac:dyDescent="0.25">
      <c r="A69" s="35" t="s">
        <v>74</v>
      </c>
      <c r="B69" s="35">
        <v>43</v>
      </c>
      <c r="C69" s="35">
        <v>5</v>
      </c>
    </row>
    <row r="70" spans="1:3" ht="25.5" x14ac:dyDescent="0.25">
      <c r="A70" s="34" t="s">
        <v>75</v>
      </c>
      <c r="B70" s="34">
        <v>47</v>
      </c>
      <c r="C70" s="34">
        <v>6</v>
      </c>
    </row>
    <row r="71" spans="1:3" ht="25.5" x14ac:dyDescent="0.25">
      <c r="A71" s="35" t="s">
        <v>76</v>
      </c>
      <c r="B71" s="35">
        <v>47</v>
      </c>
      <c r="C71" s="35">
        <v>7</v>
      </c>
    </row>
    <row r="72" spans="1:3" ht="25.5" x14ac:dyDescent="0.25">
      <c r="A72" s="34" t="s">
        <v>77</v>
      </c>
      <c r="B72" s="34">
        <v>46</v>
      </c>
      <c r="C72" s="34">
        <v>1</v>
      </c>
    </row>
    <row r="73" spans="1:3" ht="25.5" x14ac:dyDescent="0.25">
      <c r="A73" s="35" t="s">
        <v>78</v>
      </c>
      <c r="B73" s="35">
        <v>49</v>
      </c>
      <c r="C73" s="35">
        <v>1</v>
      </c>
    </row>
    <row r="74" spans="1:3" x14ac:dyDescent="0.25">
      <c r="A74" s="34" t="s">
        <v>79</v>
      </c>
      <c r="B74" s="34">
        <v>49</v>
      </c>
      <c r="C74" s="34">
        <v>1</v>
      </c>
    </row>
    <row r="75" spans="1:3" ht="25.5" x14ac:dyDescent="0.25">
      <c r="A75" s="35" t="s">
        <v>80</v>
      </c>
      <c r="B75" s="35">
        <v>21</v>
      </c>
      <c r="C75" s="35">
        <v>1</v>
      </c>
    </row>
    <row r="76" spans="1:3" x14ac:dyDescent="0.25">
      <c r="A76" s="34" t="s">
        <v>81</v>
      </c>
      <c r="B76" s="34">
        <v>50</v>
      </c>
      <c r="C76" s="34">
        <v>1</v>
      </c>
    </row>
  </sheetData>
  <mergeCells count="6">
    <mergeCell ref="A18:C18"/>
    <mergeCell ref="A1:J1"/>
    <mergeCell ref="A3:C3"/>
    <mergeCell ref="F3:H3"/>
    <mergeCell ref="A10:D10"/>
    <mergeCell ref="F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Cleaned Data</vt:lpstr>
      <vt:lpstr>Analysis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Kelvin Njuguna Maina</cp:lastModifiedBy>
  <cp:revision>1</cp:revision>
  <dcterms:created xsi:type="dcterms:W3CDTF">2026-06-12T13:29:39Z</dcterms:created>
  <dcterms:modified xsi:type="dcterms:W3CDTF">2026-06-12T16:16:53Z</dcterms:modified>
  <dc:language>en-US</dc:language>
</cp:coreProperties>
</file>